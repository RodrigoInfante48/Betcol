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drodriguez\Downloads\"/>
    </mc:Choice>
  </mc:AlternateContent>
  <xr:revisionPtr revIDLastSave="3" documentId="13_ncr:9_{36932EF2-2DD5-4CB3-A44C-82304037E01C}" xr6:coauthVersionLast="47" xr6:coauthVersionMax="47" xr10:uidLastSave="{5C1A369B-5154-4592-9762-15D14284CC99}"/>
  <bookViews>
    <workbookView xWindow="-28920" yWindow="-120" windowWidth="29040" windowHeight="15720" xr2:uid="{64D3FF27-690B-43DD-A98C-CADC7DC7158F}"/>
  </bookViews>
  <sheets>
    <sheet name="Sheet1" sheetId="2" r:id="rId1"/>
    <sheet name="Sheet2" sheetId="3" r:id="rId2"/>
  </sheets>
  <definedNames>
    <definedName name="_xlnm._FilterDatabase" localSheetId="0" hidden="1">Sheet1!$B$1:$B$73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H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2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2" i="3"/>
</calcChain>
</file>

<file path=xl/sharedStrings.xml><?xml version="1.0" encoding="utf-8"?>
<sst xmlns="http://schemas.openxmlformats.org/spreadsheetml/2006/main" count="750" uniqueCount="153">
  <si>
    <t>Fecha</t>
  </si>
  <si>
    <t>Grupo</t>
  </si>
  <si>
    <t>Equipo local</t>
  </si>
  <si>
    <t>Equipo visitante</t>
  </si>
  <si>
    <t>Estadio</t>
  </si>
  <si>
    <t>Prob. local</t>
  </si>
  <si>
    <t>Prob. empate</t>
  </si>
  <si>
    <t>Prob. visitante</t>
  </si>
  <si>
    <t>xG local</t>
  </si>
  <si>
    <t>xG visitante</t>
  </si>
  <si>
    <t>Posesión local</t>
  </si>
  <si>
    <t>Posesión visitante</t>
  </si>
  <si>
    <t>Tarjetas estimadas</t>
  </si>
  <si>
    <t>Marcador probable</t>
  </si>
  <si>
    <t>Top 3</t>
  </si>
  <si>
    <t>Group A</t>
  </si>
  <si>
    <t>Mexico</t>
  </si>
  <si>
    <t>South Africa</t>
  </si>
  <si>
    <t>Mexico City Stadium</t>
  </si>
  <si>
    <t>2-0 (22%) | 1-0 (18%) | 1-1 (14%)</t>
  </si>
  <si>
    <t>Korea Republic</t>
  </si>
  <si>
    <t>Czechia</t>
  </si>
  <si>
    <t>Estadio Guadalajara</t>
  </si>
  <si>
    <t>1-1 (18%) | 2-1 (15%) | 1-0 (13%)</t>
  </si>
  <si>
    <t>Group B</t>
  </si>
  <si>
    <t>Canada</t>
  </si>
  <si>
    <t>Bosnia and Herzegovina</t>
  </si>
  <si>
    <t>Toronto Stadium</t>
  </si>
  <si>
    <t>1-1 (18%) | 2-1 (14%) | 1-2 (13%)</t>
  </si>
  <si>
    <t>Group D</t>
  </si>
  <si>
    <t>USA</t>
  </si>
  <si>
    <t>Paraguay</t>
  </si>
  <si>
    <t>Los Angeles Stadium</t>
  </si>
  <si>
    <t>2-1 (18%) | 1-0 (17%) | 2-0 (15%)</t>
  </si>
  <si>
    <t>Group C</t>
  </si>
  <si>
    <t>Haiti</t>
  </si>
  <si>
    <t>Scotland</t>
  </si>
  <si>
    <t>Boston Stadium</t>
  </si>
  <si>
    <t>0-2 (23%) | 0-1 (18%) | 0-3 (14%)</t>
  </si>
  <si>
    <t>Australia</t>
  </si>
  <si>
    <t>Turkiye</t>
  </si>
  <si>
    <t>BC Place Vancouver</t>
  </si>
  <si>
    <t>2-1 (17%) | 1-0 (16%) | 1-1 (16%)</t>
  </si>
  <si>
    <t>Brazil</t>
  </si>
  <si>
    <t>Morocco</t>
  </si>
  <si>
    <t>New York New Jersey Stadium</t>
  </si>
  <si>
    <t>2-1 (20%) | 1-0 (17%) | 2-0 (15%)</t>
  </si>
  <si>
    <t>Qatar</t>
  </si>
  <si>
    <t>Switzerland</t>
  </si>
  <si>
    <t>San Francisco Bay Area Stadium</t>
  </si>
  <si>
    <t>0-2 (24%) | 0-3 (16%) | 1-2 (14%)</t>
  </si>
  <si>
    <t>Group E</t>
  </si>
  <si>
    <t>Cote d'Ivoire</t>
  </si>
  <si>
    <t>Ecuador</t>
  </si>
  <si>
    <t>Philadelphia Stadium</t>
  </si>
  <si>
    <t>1-1 (18%) | 1-2 (15%) | 2-1 (14%)</t>
  </si>
  <si>
    <t>Germany</t>
  </si>
  <si>
    <t>Curacao</t>
  </si>
  <si>
    <t>Houston Stadium</t>
  </si>
  <si>
    <t>5-0 (18%) | 4-0 (17%) | 3-0 (16%)</t>
  </si>
  <si>
    <t>Group F</t>
  </si>
  <si>
    <t>Netherlands</t>
  </si>
  <si>
    <t>Japan</t>
  </si>
  <si>
    <t>Dallas Stadium</t>
  </si>
  <si>
    <t>2-1 (18%) | 2-0 (17%) | 1-0 (14%)</t>
  </si>
  <si>
    <t>Sweden</t>
  </si>
  <si>
    <t>Tunisia</t>
  </si>
  <si>
    <t>Estadio Monterrey</t>
  </si>
  <si>
    <t>2-0 (20%) | 1-0 (17%) | 2-1 (14%)</t>
  </si>
  <si>
    <t>Group H</t>
  </si>
  <si>
    <t>Saudi Arabia</t>
  </si>
  <si>
    <t>Uruguay</t>
  </si>
  <si>
    <t>Miami Stadium</t>
  </si>
  <si>
    <t>1-2 (18%) | 1-1 (15%) | 0-1 (14%)</t>
  </si>
  <si>
    <t>Spain</t>
  </si>
  <si>
    <t>Cabo Verde</t>
  </si>
  <si>
    <t>Atlanta Stadium</t>
  </si>
  <si>
    <t>3-0 (22%) | 2-0 (18%) | 2-1 (14%)</t>
  </si>
  <si>
    <t>Group G</t>
  </si>
  <si>
    <t>IR Iran</t>
  </si>
  <si>
    <t>New Zealand</t>
  </si>
  <si>
    <t>1-0 (20%) | 2-0 (17%) | 1-1 (16%)</t>
  </si>
  <si>
    <t>Belgium</t>
  </si>
  <si>
    <t>Egypt</t>
  </si>
  <si>
    <t>Seattle Stadium</t>
  </si>
  <si>
    <t>2-0 (21%) | 2-1 (17%) | 1-0 (15%)</t>
  </si>
  <si>
    <t>Group I</t>
  </si>
  <si>
    <t>France</t>
  </si>
  <si>
    <t>Senegal</t>
  </si>
  <si>
    <t>2-0 (20%) | 2-1 (17%) | 1-0 (15%)</t>
  </si>
  <si>
    <t>Iraq</t>
  </si>
  <si>
    <t>Norway</t>
  </si>
  <si>
    <t>0-3 (22%) | 0-2 (19%) | 1-2 (14%)</t>
  </si>
  <si>
    <t>Group J</t>
  </si>
  <si>
    <t>Argentina</t>
  </si>
  <si>
    <t>Algeria</t>
  </si>
  <si>
    <t>Kansas City Stadium</t>
  </si>
  <si>
    <t>2-0 (22%) | 3-0 (16%) | 2-1 (14%)</t>
  </si>
  <si>
    <t>Austria</t>
  </si>
  <si>
    <t>Jordan</t>
  </si>
  <si>
    <t>1-1 (18%) | 2-1 (15%) | 1-0 (14%)</t>
  </si>
  <si>
    <t>Group L</t>
  </si>
  <si>
    <t>Ghana</t>
  </si>
  <si>
    <t>Panama</t>
  </si>
  <si>
    <t>1-0 (19%) | 2-0 (16%) | 1-1 (16%)</t>
  </si>
  <si>
    <t>England</t>
  </si>
  <si>
    <t>Croatia</t>
  </si>
  <si>
    <t>2-1 (18%) | 1-1 (15%) | 1-0 (16%)</t>
  </si>
  <si>
    <t>Group K</t>
  </si>
  <si>
    <t>Portugal</t>
  </si>
  <si>
    <t>Congo DR</t>
  </si>
  <si>
    <t>3-0 (22%) | 2-0 (19%) | 2-1 (14%)</t>
  </si>
  <si>
    <t>Uzbekistan</t>
  </si>
  <si>
    <t>Colombia</t>
  </si>
  <si>
    <t>0-2 (22%) | 1-2 (17%) | 0-3 (14%)</t>
  </si>
  <si>
    <t>1-0 (17%) | 1-1 (17%) | 0-1 (15%)</t>
  </si>
  <si>
    <t>2-1 (18%) | 1-0 (15%) | 2-0 (15%)</t>
  </si>
  <si>
    <t>2-0 (22%) | 3-0 (15%) | 1-0 (14%)</t>
  </si>
  <si>
    <t>1-1 (17%) | 2-1 (14%) | 1-0 (13%)</t>
  </si>
  <si>
    <t>4-0 (22%) | 3-0 (21%) | 3-1 (14%)</t>
  </si>
  <si>
    <t>0-1 (20%) | 1-0 (17%) | 1-1 (16%)</t>
  </si>
  <si>
    <t>2-0 (20%) | 2-1 (15%) | 1-0 (14%)</t>
  </si>
  <si>
    <t>3-1 (18%) | 2-0 (17%) | 2-1 (16%)</t>
  </si>
  <si>
    <t>3-0 (23%) | 2-0 (20%) | 2-1 (14%)</t>
  </si>
  <si>
    <t>2-0 (19%) | 2-1 (16%) | 1-0 (14%)</t>
  </si>
  <si>
    <t>0-2 (20%) | 0-1 (17%) | 1-2 (15%)</t>
  </si>
  <si>
    <t>2-0 (21%) | 2-1 (16%) | 3-0 (14%)</t>
  </si>
  <si>
    <t>0-2 (21%) | 0-1 (18%) | 1-2 (14%)</t>
  </si>
  <si>
    <t>1-2 (18%) | 0-2 (16%) | 0-1 (14%)</t>
  </si>
  <si>
    <t>4-0 (21%) | 3-0 (19%) | 3-1 (13%)</t>
  </si>
  <si>
    <t>3-0 (21%) | 2-0 (18%) | 2-1 (15%)</t>
  </si>
  <si>
    <t>1-1 (18%) | 1-0 (15%) | 2-1 (14%)</t>
  </si>
  <si>
    <t>2-0 (21%) | 2-1 (16%) | 1-0 (15%)</t>
  </si>
  <si>
    <t>0-2 (21%) | 0-1 (16%) | 1-2 (15%)</t>
  </si>
  <si>
    <t>4-0 (21%) | 3-0 (18%) | 3-1 (13%)</t>
  </si>
  <si>
    <t>2-0 (22%) | 2-1 (17%) | 1-0 (15%)</t>
  </si>
  <si>
    <t>0-3 (21%) | 0-2 (19%) | 1-2 (14%)</t>
  </si>
  <si>
    <t>3-0 (24%) | 2-0 (20%) | 2-1 (13%)</t>
  </si>
  <si>
    <t>1-1 (17%) | 1-2 (14%) | 2-1 (13%)</t>
  </si>
  <si>
    <t>0-2 (20%) | 0-1 (16%) | 1-2 (14%)</t>
  </si>
  <si>
    <t>0-2 (20%) | 0-1 (17%) | 1-2 (14%)</t>
  </si>
  <si>
    <t>0-2 (22%) | 0-3 (15%) | 1-2 (14%)</t>
  </si>
  <si>
    <t>0-2 (20%) | 1-2 (16%) | 1-3 (13%)</t>
  </si>
  <si>
    <t>0-3 (22%) | 0-2 (18%) | 1-2 (13%)</t>
  </si>
  <si>
    <t>1-0 (18%) | 1-1 (17%) | 2-1 (14%)</t>
  </si>
  <si>
    <t>2-0 (22%) | 2-1 (16%) | 1-0 (15%)</t>
  </si>
  <si>
    <t>1-1 (22%) | 1-0 (17%) | 2-1 (13%)</t>
  </si>
  <si>
    <t>0-4 (20%) | 0-3 (18%) | 1-3 (14%)</t>
  </si>
  <si>
    <t>1-1 (18%) | 2-0 (16%) | 1-0 (15%)</t>
  </si>
  <si>
    <t>1-2 (19%) | 0-1 (16%) | 0-2 (15%)</t>
  </si>
  <si>
    <t>0-3 (20%) | 0-4 (16%) | 0-2 (15%)</t>
  </si>
  <si>
    <t>1-2 (18%) | 0-1 (16%) | 1-1 (15%)</t>
  </si>
  <si>
    <t>1-1 (19%) | 2-1 (15%) | 1-0 (14%)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</si>
</sst>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" fontId="0" fillId="0" borderId="10" xfId="0" applyNumberFormat="1" applyBorder="1"/>
    <xf numFmtId="0" fontId="0" fillId="0" borderId="10" xfId="0" applyBorder="1"/>
    <xf numFmtId="17" fontId="0" fillId="0" borderId="10" xfId="0" applyNumberFormat="1" applyBorder="1" applyAlignment="1">
      <alignment horizontal="center"/>
    </xf>
    <xf numFmtId="0" fontId="16" fillId="0" borderId="10" xfId="0" applyFont="1" applyBorder="1"/>
    <xf numFmtId="0" fontId="0" fillId="0" borderId="10" xfId="1" applyNumberFormat="1" applyFont="1" applyBorder="1"/>
    <xf numFmtId="9" fontId="0" fillId="0" borderId="10" xfId="1" applyFont="1" applyBorder="1"/>
    <xf numFmtId="16" fontId="0" fillId="33" borderId="10" xfId="0" applyNumberFormat="1" applyFill="1" applyBorder="1"/>
    <xf numFmtId="0" fontId="0" fillId="33" borderId="10" xfId="0" applyFill="1" applyBorder="1"/>
    <xf numFmtId="9" fontId="0" fillId="33" borderId="10" xfId="1" applyFont="1" applyFill="1" applyBorder="1"/>
    <xf numFmtId="17" fontId="0" fillId="33" borderId="10" xfId="0" applyNumberFormat="1" applyFill="1" applyBorder="1" applyAlignment="1">
      <alignment horizontal="center"/>
    </xf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EBE5-E560-4C1B-A28E-9E3E13476F40}">
  <dimension ref="A1:O73"/>
  <sheetViews>
    <sheetView tabSelected="1" workbookViewId="0">
      <pane ySplit="1" topLeftCell="A53" activePane="bottomLeft" state="frozen"/>
      <selection pane="bottomLeft" activeCell="C40" sqref="C40"/>
    </sheetView>
  </sheetViews>
  <sheetFormatPr defaultRowHeight="15"/>
  <cols>
    <col min="1" max="1" width="6.7109375" bestFit="1" customWidth="1"/>
    <col min="2" max="2" width="8.140625" bestFit="1" customWidth="1"/>
    <col min="3" max="4" width="22.5703125" bestFit="1" customWidth="1"/>
    <col min="5" max="5" width="29.85546875" bestFit="1" customWidth="1"/>
    <col min="6" max="6" width="10.42578125" bestFit="1" customWidth="1"/>
    <col min="7" max="7" width="13.140625" bestFit="1" customWidth="1"/>
    <col min="8" max="8" width="14.140625" bestFit="1" customWidth="1"/>
    <col min="9" max="9" width="8.140625" bestFit="1" customWidth="1"/>
    <col min="10" max="10" width="11.7109375" bestFit="1" customWidth="1"/>
    <col min="11" max="11" width="14.140625" bestFit="1" customWidth="1"/>
    <col min="12" max="12" width="17.85546875" bestFit="1" customWidth="1"/>
    <col min="13" max="13" width="18.140625" bestFit="1" customWidth="1"/>
    <col min="14" max="14" width="18" bestFit="1" customWidth="1"/>
    <col min="15" max="15" width="29.85546875" bestFit="1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46184</v>
      </c>
      <c r="B2" s="2" t="s">
        <v>15</v>
      </c>
      <c r="C2" s="2" t="s">
        <v>16</v>
      </c>
      <c r="D2" s="2" t="s">
        <v>17</v>
      </c>
      <c r="E2" s="2" t="s">
        <v>18</v>
      </c>
      <c r="F2" s="6">
        <f>Sheet2!F2/100</f>
        <v>0.62</v>
      </c>
      <c r="G2" s="6">
        <f>Sheet2!G2/100</f>
        <v>0.2</v>
      </c>
      <c r="H2" s="6">
        <f>Sheet2!H2/100</f>
        <v>0.18</v>
      </c>
      <c r="I2" s="2">
        <v>2.1</v>
      </c>
      <c r="J2" s="2">
        <v>0.7</v>
      </c>
      <c r="K2" s="6">
        <f>Sheet2!K2/100</f>
        <v>0.57999999999999996</v>
      </c>
      <c r="L2" s="6">
        <f>Sheet2!L2/100</f>
        <v>0.42</v>
      </c>
      <c r="M2" s="2">
        <v>2.6</v>
      </c>
      <c r="N2" s="3" t="str">
        <f>LEFT(O2,3)</f>
        <v>2-0</v>
      </c>
      <c r="O2" s="2" t="s">
        <v>19</v>
      </c>
    </row>
    <row r="3" spans="1:15">
      <c r="A3" s="1">
        <v>46184</v>
      </c>
      <c r="B3" s="2" t="s">
        <v>15</v>
      </c>
      <c r="C3" s="2" t="s">
        <v>20</v>
      </c>
      <c r="D3" s="2" t="s">
        <v>21</v>
      </c>
      <c r="E3" s="2" t="s">
        <v>22</v>
      </c>
      <c r="F3" s="6">
        <f>Sheet2!F3/100</f>
        <v>0.36</v>
      </c>
      <c r="G3" s="6">
        <f>Sheet2!G3/100</f>
        <v>0.3</v>
      </c>
      <c r="H3" s="6">
        <f>Sheet2!H3/100</f>
        <v>0.34</v>
      </c>
      <c r="I3" s="2">
        <v>1.3</v>
      </c>
      <c r="J3" s="2">
        <v>1.2</v>
      </c>
      <c r="K3" s="6">
        <f>Sheet2!K3/100</f>
        <v>0.51</v>
      </c>
      <c r="L3" s="6">
        <f>Sheet2!L3/100</f>
        <v>0.49</v>
      </c>
      <c r="M3" s="2">
        <v>2.7</v>
      </c>
      <c r="N3" s="3" t="str">
        <f t="shared" ref="N3:N66" si="0">LEFT(O3,3)</f>
        <v>1-1</v>
      </c>
      <c r="O3" s="2" t="s">
        <v>23</v>
      </c>
    </row>
    <row r="4" spans="1:15">
      <c r="A4" s="1">
        <v>46185</v>
      </c>
      <c r="B4" s="2" t="s">
        <v>24</v>
      </c>
      <c r="C4" s="2" t="s">
        <v>25</v>
      </c>
      <c r="D4" s="2" t="s">
        <v>26</v>
      </c>
      <c r="E4" s="2" t="s">
        <v>27</v>
      </c>
      <c r="F4" s="6">
        <f>Sheet2!F4/100</f>
        <v>0.41</v>
      </c>
      <c r="G4" s="6">
        <f>Sheet2!G4/100</f>
        <v>0.3</v>
      </c>
      <c r="H4" s="6">
        <f>Sheet2!H4/100</f>
        <v>0.28999999999999998</v>
      </c>
      <c r="I4" s="2">
        <v>1.5</v>
      </c>
      <c r="J4" s="2">
        <v>1.1000000000000001</v>
      </c>
      <c r="K4" s="6">
        <f>Sheet2!K4/100</f>
        <v>0.53</v>
      </c>
      <c r="L4" s="6">
        <f>Sheet2!L4/100</f>
        <v>0.47</v>
      </c>
      <c r="M4" s="2">
        <v>2.9</v>
      </c>
      <c r="N4" s="3" t="str">
        <f t="shared" si="0"/>
        <v>1-1</v>
      </c>
      <c r="O4" s="2" t="s">
        <v>28</v>
      </c>
    </row>
    <row r="5" spans="1:15">
      <c r="A5" s="1">
        <v>46185</v>
      </c>
      <c r="B5" s="2" t="s">
        <v>29</v>
      </c>
      <c r="C5" s="2" t="s">
        <v>30</v>
      </c>
      <c r="D5" s="2" t="s">
        <v>31</v>
      </c>
      <c r="E5" s="2" t="s">
        <v>32</v>
      </c>
      <c r="F5" s="6">
        <f>Sheet2!F5/100</f>
        <v>0.55000000000000004</v>
      </c>
      <c r="G5" s="6">
        <f>Sheet2!G5/100</f>
        <v>0.25</v>
      </c>
      <c r="H5" s="6">
        <f>Sheet2!H5/100</f>
        <v>0.2</v>
      </c>
      <c r="I5" s="2">
        <v>1.9</v>
      </c>
      <c r="J5" s="2">
        <v>0.9</v>
      </c>
      <c r="K5" s="6">
        <f>Sheet2!K5/100</f>
        <v>0.56999999999999995</v>
      </c>
      <c r="L5" s="6">
        <f>Sheet2!L5/100</f>
        <v>0.43</v>
      </c>
      <c r="M5" s="2">
        <v>2.8</v>
      </c>
      <c r="N5" s="3" t="str">
        <f t="shared" si="0"/>
        <v>2-1</v>
      </c>
      <c r="O5" s="2" t="s">
        <v>33</v>
      </c>
    </row>
    <row r="6" spans="1:15">
      <c r="A6" s="1">
        <v>46186</v>
      </c>
      <c r="B6" s="2" t="s">
        <v>34</v>
      </c>
      <c r="C6" s="2" t="s">
        <v>35</v>
      </c>
      <c r="D6" s="2" t="s">
        <v>36</v>
      </c>
      <c r="E6" s="2" t="s">
        <v>37</v>
      </c>
      <c r="F6" s="6">
        <f>Sheet2!F6/100</f>
        <v>0.18</v>
      </c>
      <c r="G6" s="6">
        <f>Sheet2!G6/100</f>
        <v>0.22</v>
      </c>
      <c r="H6" s="6">
        <f>Sheet2!H6/100</f>
        <v>0.6</v>
      </c>
      <c r="I6" s="2">
        <v>0.6</v>
      </c>
      <c r="J6" s="2">
        <v>1.9</v>
      </c>
      <c r="K6" s="6">
        <f>Sheet2!K6/100</f>
        <v>0.42</v>
      </c>
      <c r="L6" s="6">
        <f>Sheet2!L6/100</f>
        <v>0.57999999999999996</v>
      </c>
      <c r="M6" s="2">
        <v>3.5</v>
      </c>
      <c r="N6" s="3" t="str">
        <f t="shared" si="0"/>
        <v>0-2</v>
      </c>
      <c r="O6" s="2" t="s">
        <v>38</v>
      </c>
    </row>
    <row r="7" spans="1:15" s="11" customFormat="1">
      <c r="A7" s="7">
        <v>46186</v>
      </c>
      <c r="B7" s="8" t="s">
        <v>29</v>
      </c>
      <c r="C7" s="8" t="s">
        <v>39</v>
      </c>
      <c r="D7" s="8" t="s">
        <v>40</v>
      </c>
      <c r="E7" s="8" t="s">
        <v>41</v>
      </c>
      <c r="F7" s="9">
        <f>Sheet2!F7/100</f>
        <v>0.38</v>
      </c>
      <c r="G7" s="9">
        <f>Sheet2!G7/100</f>
        <v>0.28999999999999998</v>
      </c>
      <c r="H7" s="9">
        <f>Sheet2!H7/100</f>
        <v>0.33</v>
      </c>
      <c r="I7" s="8">
        <v>1.4</v>
      </c>
      <c r="J7" s="8">
        <v>1.2</v>
      </c>
      <c r="K7" s="9">
        <f>Sheet2!K7/100</f>
        <v>0.49</v>
      </c>
      <c r="L7" s="9">
        <f>Sheet2!L7/100</f>
        <v>0.51</v>
      </c>
      <c r="M7" s="8">
        <v>3.2</v>
      </c>
      <c r="N7" s="10" t="str">
        <f t="shared" si="0"/>
        <v>2-1</v>
      </c>
      <c r="O7" s="8" t="s">
        <v>42</v>
      </c>
    </row>
    <row r="8" spans="1:15">
      <c r="A8" s="1">
        <v>46186</v>
      </c>
      <c r="B8" s="2" t="s">
        <v>34</v>
      </c>
      <c r="C8" s="2" t="s">
        <v>43</v>
      </c>
      <c r="D8" s="2" t="s">
        <v>44</v>
      </c>
      <c r="E8" s="2" t="s">
        <v>45</v>
      </c>
      <c r="F8" s="6">
        <f>Sheet2!F8/100</f>
        <v>0.57999999999999996</v>
      </c>
      <c r="G8" s="6">
        <f>Sheet2!G8/100</f>
        <v>0.23</v>
      </c>
      <c r="H8" s="6">
        <f>Sheet2!H8/100</f>
        <v>0.19</v>
      </c>
      <c r="I8" s="2">
        <v>2</v>
      </c>
      <c r="J8" s="2">
        <v>0.8</v>
      </c>
      <c r="K8" s="6">
        <f>Sheet2!K8/100</f>
        <v>0.56999999999999995</v>
      </c>
      <c r="L8" s="6">
        <f>Sheet2!L8/100</f>
        <v>0.43</v>
      </c>
      <c r="M8" s="2">
        <v>3</v>
      </c>
      <c r="N8" s="3" t="str">
        <f t="shared" si="0"/>
        <v>2-1</v>
      </c>
      <c r="O8" s="2" t="s">
        <v>46</v>
      </c>
    </row>
    <row r="9" spans="1:15">
      <c r="A9" s="1">
        <v>46186</v>
      </c>
      <c r="B9" s="2" t="s">
        <v>24</v>
      </c>
      <c r="C9" s="2" t="s">
        <v>47</v>
      </c>
      <c r="D9" s="2" t="s">
        <v>48</v>
      </c>
      <c r="E9" s="2" t="s">
        <v>49</v>
      </c>
      <c r="F9" s="6">
        <f>Sheet2!F9/100</f>
        <v>0.2</v>
      </c>
      <c r="G9" s="6">
        <f>Sheet2!G9/100</f>
        <v>0.24</v>
      </c>
      <c r="H9" s="6">
        <f>Sheet2!H9/100</f>
        <v>0.56000000000000005</v>
      </c>
      <c r="I9" s="2">
        <v>0.7</v>
      </c>
      <c r="J9" s="2">
        <v>1.8</v>
      </c>
      <c r="K9" s="6">
        <f>Sheet2!K9/100</f>
        <v>0.44</v>
      </c>
      <c r="L9" s="6">
        <f>Sheet2!L9/100</f>
        <v>0.56000000000000005</v>
      </c>
      <c r="M9" s="2">
        <v>3.3</v>
      </c>
      <c r="N9" s="3" t="str">
        <f t="shared" si="0"/>
        <v>0-2</v>
      </c>
      <c r="O9" s="2" t="s">
        <v>50</v>
      </c>
    </row>
    <row r="10" spans="1:15">
      <c r="A10" s="1">
        <v>46187</v>
      </c>
      <c r="B10" s="2" t="s">
        <v>51</v>
      </c>
      <c r="C10" s="2" t="s">
        <v>52</v>
      </c>
      <c r="D10" s="2" t="s">
        <v>53</v>
      </c>
      <c r="E10" s="2" t="s">
        <v>54</v>
      </c>
      <c r="F10" s="6">
        <f>Sheet2!F10/100</f>
        <v>0.34</v>
      </c>
      <c r="G10" s="6">
        <f>Sheet2!G10/100</f>
        <v>0.32</v>
      </c>
      <c r="H10" s="6">
        <f>Sheet2!H10/100</f>
        <v>0.34</v>
      </c>
      <c r="I10" s="2">
        <v>1.2</v>
      </c>
      <c r="J10" s="2">
        <v>1.2</v>
      </c>
      <c r="K10" s="6">
        <f>Sheet2!K10/100</f>
        <v>0.5</v>
      </c>
      <c r="L10" s="6">
        <f>Sheet2!L10/100</f>
        <v>0.5</v>
      </c>
      <c r="M10" s="2">
        <v>3.1</v>
      </c>
      <c r="N10" s="3" t="str">
        <f t="shared" si="0"/>
        <v>1-1</v>
      </c>
      <c r="O10" s="2" t="s">
        <v>55</v>
      </c>
    </row>
    <row r="11" spans="1:15">
      <c r="A11" s="1">
        <v>46187</v>
      </c>
      <c r="B11" s="2" t="s">
        <v>51</v>
      </c>
      <c r="C11" s="2" t="s">
        <v>56</v>
      </c>
      <c r="D11" s="2" t="s">
        <v>57</v>
      </c>
      <c r="E11" s="2" t="s">
        <v>58</v>
      </c>
      <c r="F11" s="6">
        <f>Sheet2!F11/100</f>
        <v>0.78</v>
      </c>
      <c r="G11" s="6">
        <f>Sheet2!G11/100</f>
        <v>0.14000000000000001</v>
      </c>
      <c r="H11" s="6">
        <f>Sheet2!H11/100</f>
        <v>0.08</v>
      </c>
      <c r="I11" s="2">
        <v>2.9</v>
      </c>
      <c r="J11" s="2">
        <v>0.4</v>
      </c>
      <c r="K11" s="6">
        <f>Sheet2!K11/100</f>
        <v>0.66</v>
      </c>
      <c r="L11" s="6">
        <f>Sheet2!L11/100</f>
        <v>0.34</v>
      </c>
      <c r="M11" s="2">
        <v>2.4</v>
      </c>
      <c r="N11" s="3" t="str">
        <f t="shared" si="0"/>
        <v>5-0</v>
      </c>
      <c r="O11" s="2" t="s">
        <v>59</v>
      </c>
    </row>
    <row r="12" spans="1:15">
      <c r="A12" s="1">
        <v>46187</v>
      </c>
      <c r="B12" s="2" t="s">
        <v>60</v>
      </c>
      <c r="C12" s="2" t="s">
        <v>61</v>
      </c>
      <c r="D12" s="2" t="s">
        <v>62</v>
      </c>
      <c r="E12" s="2" t="s">
        <v>63</v>
      </c>
      <c r="F12" s="6">
        <f>Sheet2!F12/100</f>
        <v>0.52</v>
      </c>
      <c r="G12" s="6">
        <f>Sheet2!G12/100</f>
        <v>0.28000000000000003</v>
      </c>
      <c r="H12" s="6">
        <f>Sheet2!H12/100</f>
        <v>0.2</v>
      </c>
      <c r="I12" s="2">
        <v>1.8</v>
      </c>
      <c r="J12" s="2">
        <v>0.9</v>
      </c>
      <c r="K12" s="6">
        <f>Sheet2!K12/100</f>
        <v>0.55000000000000004</v>
      </c>
      <c r="L12" s="6">
        <f>Sheet2!L12/100</f>
        <v>0.45</v>
      </c>
      <c r="M12" s="2">
        <v>2.9</v>
      </c>
      <c r="N12" s="3" t="str">
        <f t="shared" si="0"/>
        <v>2-1</v>
      </c>
      <c r="O12" s="2" t="s">
        <v>64</v>
      </c>
    </row>
    <row r="13" spans="1:15">
      <c r="A13" s="1">
        <v>46187</v>
      </c>
      <c r="B13" s="2" t="s">
        <v>60</v>
      </c>
      <c r="C13" s="2" t="s">
        <v>65</v>
      </c>
      <c r="D13" s="2" t="s">
        <v>66</v>
      </c>
      <c r="E13" s="2" t="s">
        <v>67</v>
      </c>
      <c r="F13" s="6">
        <f>Sheet2!F13/100</f>
        <v>0.67</v>
      </c>
      <c r="G13" s="6">
        <f>Sheet2!G13/100</f>
        <v>0.21</v>
      </c>
      <c r="H13" s="6">
        <f>Sheet2!H13/100</f>
        <v>0.12</v>
      </c>
      <c r="I13" s="2">
        <v>2.2000000000000002</v>
      </c>
      <c r="J13" s="2">
        <v>0.6</v>
      </c>
      <c r="K13" s="6">
        <f>Sheet2!K13/100</f>
        <v>0.61</v>
      </c>
      <c r="L13" s="6">
        <f>Sheet2!L13/100</f>
        <v>0.39</v>
      </c>
      <c r="M13" s="2">
        <v>2.7</v>
      </c>
      <c r="N13" s="3" t="str">
        <f t="shared" si="0"/>
        <v>2-0</v>
      </c>
      <c r="O13" s="2" t="s">
        <v>68</v>
      </c>
    </row>
    <row r="14" spans="1:15">
      <c r="A14" s="1">
        <v>46188</v>
      </c>
      <c r="B14" s="2" t="s">
        <v>69</v>
      </c>
      <c r="C14" s="2" t="s">
        <v>70</v>
      </c>
      <c r="D14" s="2" t="s">
        <v>71</v>
      </c>
      <c r="E14" s="2" t="s">
        <v>72</v>
      </c>
      <c r="F14" s="6">
        <f>Sheet2!F14/100</f>
        <v>0.22</v>
      </c>
      <c r="G14" s="6">
        <f>Sheet2!G14/100</f>
        <v>0.26</v>
      </c>
      <c r="H14" s="6">
        <f>Sheet2!H14/100</f>
        <v>0.52</v>
      </c>
      <c r="I14" s="2">
        <v>0.8</v>
      </c>
      <c r="J14" s="2">
        <v>1.7</v>
      </c>
      <c r="K14" s="6">
        <f>Sheet2!K14/100</f>
        <v>0.43</v>
      </c>
      <c r="L14" s="6">
        <f>Sheet2!L14/100</f>
        <v>0.56999999999999995</v>
      </c>
      <c r="M14" s="2">
        <v>3.4</v>
      </c>
      <c r="N14" s="3" t="str">
        <f t="shared" si="0"/>
        <v>1-2</v>
      </c>
      <c r="O14" s="2" t="s">
        <v>73</v>
      </c>
    </row>
    <row r="15" spans="1:15">
      <c r="A15" s="1">
        <v>46188</v>
      </c>
      <c r="B15" s="2" t="s">
        <v>69</v>
      </c>
      <c r="C15" s="2" t="s">
        <v>74</v>
      </c>
      <c r="D15" s="2" t="s">
        <v>75</v>
      </c>
      <c r="E15" s="2" t="s">
        <v>76</v>
      </c>
      <c r="F15" s="6">
        <f>Sheet2!F15/100</f>
        <v>0.81</v>
      </c>
      <c r="G15" s="6">
        <f>Sheet2!G15/100</f>
        <v>0.12</v>
      </c>
      <c r="H15" s="6">
        <f>Sheet2!H15/100</f>
        <v>7.0000000000000007E-2</v>
      </c>
      <c r="I15" s="2">
        <v>3</v>
      </c>
      <c r="J15" s="2">
        <v>0.3</v>
      </c>
      <c r="K15" s="6">
        <f>Sheet2!K15/100</f>
        <v>0.68</v>
      </c>
      <c r="L15" s="6">
        <f>Sheet2!L15/100</f>
        <v>0.32</v>
      </c>
      <c r="M15" s="2">
        <v>2.2000000000000002</v>
      </c>
      <c r="N15" s="3" t="str">
        <f t="shared" si="0"/>
        <v>3-0</v>
      </c>
      <c r="O15" s="2" t="s">
        <v>77</v>
      </c>
    </row>
    <row r="16" spans="1:15">
      <c r="A16" s="1">
        <v>46188</v>
      </c>
      <c r="B16" s="2" t="s">
        <v>78</v>
      </c>
      <c r="C16" s="2" t="s">
        <v>79</v>
      </c>
      <c r="D16" s="2" t="s">
        <v>80</v>
      </c>
      <c r="E16" s="2" t="s">
        <v>32</v>
      </c>
      <c r="F16" s="6">
        <f>Sheet2!F16/100</f>
        <v>0.54</v>
      </c>
      <c r="G16" s="6">
        <f>Sheet2!G16/100</f>
        <v>0.28000000000000003</v>
      </c>
      <c r="H16" s="6">
        <f>Sheet2!H16/100</f>
        <v>0.18</v>
      </c>
      <c r="I16" s="2">
        <v>1.7</v>
      </c>
      <c r="J16" s="2">
        <v>0.8</v>
      </c>
      <c r="K16" s="6">
        <f>Sheet2!K16/100</f>
        <v>0.54</v>
      </c>
      <c r="L16" s="6">
        <f>Sheet2!L16/100</f>
        <v>0.46</v>
      </c>
      <c r="M16" s="2">
        <v>3</v>
      </c>
      <c r="N16" s="3" t="str">
        <f t="shared" si="0"/>
        <v>1-0</v>
      </c>
      <c r="O16" s="2" t="s">
        <v>81</v>
      </c>
    </row>
    <row r="17" spans="1:15">
      <c r="A17" s="1">
        <v>46188</v>
      </c>
      <c r="B17" s="2" t="s">
        <v>78</v>
      </c>
      <c r="C17" s="2" t="s">
        <v>82</v>
      </c>
      <c r="D17" s="2" t="s">
        <v>83</v>
      </c>
      <c r="E17" s="2" t="s">
        <v>84</v>
      </c>
      <c r="F17" s="6">
        <f>Sheet2!F17/100</f>
        <v>0.63</v>
      </c>
      <c r="G17" s="6">
        <f>Sheet2!G17/100</f>
        <v>0.21</v>
      </c>
      <c r="H17" s="6">
        <f>Sheet2!H17/100</f>
        <v>0.16</v>
      </c>
      <c r="I17" s="2">
        <v>2.1</v>
      </c>
      <c r="J17" s="2">
        <v>0.7</v>
      </c>
      <c r="K17" s="6">
        <f>Sheet2!K17/100</f>
        <v>0.57999999999999996</v>
      </c>
      <c r="L17" s="6">
        <f>Sheet2!L17/100</f>
        <v>0.42</v>
      </c>
      <c r="M17" s="2">
        <v>2.8</v>
      </c>
      <c r="N17" s="3" t="str">
        <f t="shared" si="0"/>
        <v>2-0</v>
      </c>
      <c r="O17" s="2" t="s">
        <v>85</v>
      </c>
    </row>
    <row r="18" spans="1:15">
      <c r="A18" s="1">
        <v>46189</v>
      </c>
      <c r="B18" s="2" t="s">
        <v>86</v>
      </c>
      <c r="C18" s="2" t="s">
        <v>87</v>
      </c>
      <c r="D18" s="2" t="s">
        <v>88</v>
      </c>
      <c r="E18" s="2" t="s">
        <v>45</v>
      </c>
      <c r="F18" s="6">
        <f>Sheet2!F18/100</f>
        <v>0.61</v>
      </c>
      <c r="G18" s="6">
        <f>Sheet2!G18/100</f>
        <v>0.22</v>
      </c>
      <c r="H18" s="6">
        <f>Sheet2!H18/100</f>
        <v>0.17</v>
      </c>
      <c r="I18" s="2">
        <v>2</v>
      </c>
      <c r="J18" s="2">
        <v>0.7</v>
      </c>
      <c r="K18" s="6">
        <f>Sheet2!K18/100</f>
        <v>0.59</v>
      </c>
      <c r="L18" s="6">
        <f>Sheet2!L18/100</f>
        <v>0.41</v>
      </c>
      <c r="M18" s="2">
        <v>2.7</v>
      </c>
      <c r="N18" s="3" t="str">
        <f t="shared" si="0"/>
        <v>2-0</v>
      </c>
      <c r="O18" s="2" t="s">
        <v>89</v>
      </c>
    </row>
    <row r="19" spans="1:15">
      <c r="A19" s="1">
        <v>46189</v>
      </c>
      <c r="B19" s="2" t="s">
        <v>86</v>
      </c>
      <c r="C19" s="2" t="s">
        <v>90</v>
      </c>
      <c r="D19" s="2" t="s">
        <v>91</v>
      </c>
      <c r="E19" s="2" t="s">
        <v>37</v>
      </c>
      <c r="F19" s="6">
        <f>Sheet2!F19/100</f>
        <v>0.16</v>
      </c>
      <c r="G19" s="6">
        <f>Sheet2!G19/100</f>
        <v>0.19</v>
      </c>
      <c r="H19" s="6">
        <f>Sheet2!H19/100</f>
        <v>0.65</v>
      </c>
      <c r="I19" s="2">
        <v>0.5</v>
      </c>
      <c r="J19" s="2">
        <v>2.1</v>
      </c>
      <c r="K19" s="6">
        <f>Sheet2!K19/100</f>
        <v>0.4</v>
      </c>
      <c r="L19" s="6">
        <f>Sheet2!L19/100</f>
        <v>0.6</v>
      </c>
      <c r="M19" s="2">
        <v>3.6</v>
      </c>
      <c r="N19" s="3" t="str">
        <f t="shared" si="0"/>
        <v>0-3</v>
      </c>
      <c r="O19" s="2" t="s">
        <v>92</v>
      </c>
    </row>
    <row r="20" spans="1:15">
      <c r="A20" s="1">
        <v>46189</v>
      </c>
      <c r="B20" s="2" t="s">
        <v>93</v>
      </c>
      <c r="C20" s="2" t="s">
        <v>94</v>
      </c>
      <c r="D20" s="2" t="s">
        <v>95</v>
      </c>
      <c r="E20" s="2" t="s">
        <v>96</v>
      </c>
      <c r="F20" s="6">
        <f>Sheet2!F20/100</f>
        <v>0.72</v>
      </c>
      <c r="G20" s="6">
        <f>Sheet2!G20/100</f>
        <v>0.18</v>
      </c>
      <c r="H20" s="6">
        <f>Sheet2!H20/100</f>
        <v>0.1</v>
      </c>
      <c r="I20" s="2">
        <v>2.4</v>
      </c>
      <c r="J20" s="2">
        <v>0.5</v>
      </c>
      <c r="K20" s="6">
        <f>Sheet2!K20/100</f>
        <v>0.64</v>
      </c>
      <c r="L20" s="6">
        <f>Sheet2!L20/100</f>
        <v>0.36</v>
      </c>
      <c r="M20" s="2">
        <v>2.5</v>
      </c>
      <c r="N20" s="3" t="str">
        <f t="shared" si="0"/>
        <v>2-0</v>
      </c>
      <c r="O20" s="2" t="s">
        <v>97</v>
      </c>
    </row>
    <row r="21" spans="1:15">
      <c r="A21" s="1">
        <v>46189</v>
      </c>
      <c r="B21" s="2" t="s">
        <v>93</v>
      </c>
      <c r="C21" s="2" t="s">
        <v>98</v>
      </c>
      <c r="D21" s="2" t="s">
        <v>99</v>
      </c>
      <c r="E21" s="2" t="s">
        <v>49</v>
      </c>
      <c r="F21" s="6">
        <f>Sheet2!F21/100</f>
        <v>0.4</v>
      </c>
      <c r="G21" s="6">
        <f>Sheet2!G21/100</f>
        <v>0.3</v>
      </c>
      <c r="H21" s="6">
        <f>Sheet2!H21/100</f>
        <v>0.3</v>
      </c>
      <c r="I21" s="2">
        <v>1.4</v>
      </c>
      <c r="J21" s="2">
        <v>1.1000000000000001</v>
      </c>
      <c r="K21" s="6">
        <f>Sheet2!K21/100</f>
        <v>0.51</v>
      </c>
      <c r="L21" s="6">
        <f>Sheet2!L21/100</f>
        <v>0.49</v>
      </c>
      <c r="M21" s="2">
        <v>3.1</v>
      </c>
      <c r="N21" s="3" t="str">
        <f t="shared" si="0"/>
        <v>1-1</v>
      </c>
      <c r="O21" s="2" t="s">
        <v>100</v>
      </c>
    </row>
    <row r="22" spans="1:15">
      <c r="A22" s="1">
        <v>46190</v>
      </c>
      <c r="B22" s="2" t="s">
        <v>101</v>
      </c>
      <c r="C22" s="2" t="s">
        <v>102</v>
      </c>
      <c r="D22" s="2" t="s">
        <v>103</v>
      </c>
      <c r="E22" s="2" t="s">
        <v>27</v>
      </c>
      <c r="F22" s="6">
        <f>Sheet2!F22/100</f>
        <v>0.43</v>
      </c>
      <c r="G22" s="6">
        <f>Sheet2!G22/100</f>
        <v>0.3</v>
      </c>
      <c r="H22" s="6">
        <f>Sheet2!H22/100</f>
        <v>0.27</v>
      </c>
      <c r="I22" s="2">
        <v>1.5</v>
      </c>
      <c r="J22" s="2">
        <v>1</v>
      </c>
      <c r="K22" s="6">
        <f>Sheet2!K22/100</f>
        <v>0.52</v>
      </c>
      <c r="L22" s="6">
        <f>Sheet2!L22/100</f>
        <v>0.48</v>
      </c>
      <c r="M22" s="2">
        <v>3</v>
      </c>
      <c r="N22" s="3" t="str">
        <f t="shared" si="0"/>
        <v>1-0</v>
      </c>
      <c r="O22" s="2" t="s">
        <v>104</v>
      </c>
    </row>
    <row r="23" spans="1:15">
      <c r="A23" s="1">
        <v>46190</v>
      </c>
      <c r="B23" s="2" t="s">
        <v>101</v>
      </c>
      <c r="C23" s="2" t="s">
        <v>105</v>
      </c>
      <c r="D23" s="2" t="s">
        <v>106</v>
      </c>
      <c r="E23" s="2" t="s">
        <v>63</v>
      </c>
      <c r="F23" s="6">
        <f>Sheet2!F23/100</f>
        <v>0.56999999999999995</v>
      </c>
      <c r="G23" s="6">
        <f>Sheet2!G23/100</f>
        <v>0.25</v>
      </c>
      <c r="H23" s="6">
        <f>Sheet2!H23/100</f>
        <v>0.18</v>
      </c>
      <c r="I23" s="2">
        <v>1.9</v>
      </c>
      <c r="J23" s="2">
        <v>0.8</v>
      </c>
      <c r="K23" s="6">
        <f>Sheet2!K23/100</f>
        <v>0.56000000000000005</v>
      </c>
      <c r="L23" s="6">
        <f>Sheet2!L23/100</f>
        <v>0.44</v>
      </c>
      <c r="M23" s="2">
        <v>3.1</v>
      </c>
      <c r="N23" s="3" t="str">
        <f t="shared" si="0"/>
        <v>2-1</v>
      </c>
      <c r="O23" s="2" t="s">
        <v>107</v>
      </c>
    </row>
    <row r="24" spans="1:15">
      <c r="A24" s="1">
        <v>46190</v>
      </c>
      <c r="B24" s="2" t="s">
        <v>108</v>
      </c>
      <c r="C24" s="2" t="s">
        <v>109</v>
      </c>
      <c r="D24" s="2" t="s">
        <v>110</v>
      </c>
      <c r="E24" s="2" t="s">
        <v>58</v>
      </c>
      <c r="F24" s="6">
        <f>Sheet2!F24/100</f>
        <v>0.76</v>
      </c>
      <c r="G24" s="6">
        <f>Sheet2!G24/100</f>
        <v>0.15</v>
      </c>
      <c r="H24" s="6">
        <f>Sheet2!H24/100</f>
        <v>0.09</v>
      </c>
      <c r="I24" s="2">
        <v>2.7</v>
      </c>
      <c r="J24" s="2">
        <v>0.4</v>
      </c>
      <c r="K24" s="6">
        <f>Sheet2!K24/100</f>
        <v>0.65</v>
      </c>
      <c r="L24" s="6">
        <f>Sheet2!L24/100</f>
        <v>0.35</v>
      </c>
      <c r="M24" s="2">
        <v>2.2999999999999998</v>
      </c>
      <c r="N24" s="3" t="str">
        <f t="shared" si="0"/>
        <v>3-0</v>
      </c>
      <c r="O24" s="2" t="s">
        <v>111</v>
      </c>
    </row>
    <row r="25" spans="1:15">
      <c r="A25" s="1">
        <v>46190</v>
      </c>
      <c r="B25" s="2" t="s">
        <v>108</v>
      </c>
      <c r="C25" s="2" t="s">
        <v>112</v>
      </c>
      <c r="D25" s="2" t="s">
        <v>113</v>
      </c>
      <c r="E25" s="2" t="s">
        <v>18</v>
      </c>
      <c r="F25" s="6">
        <f>Sheet2!F25/100</f>
        <v>0.19</v>
      </c>
      <c r="G25" s="6">
        <f>Sheet2!G25/100</f>
        <v>0.24</v>
      </c>
      <c r="H25" s="6">
        <f>Sheet2!H25/100</f>
        <v>0.56999999999999995</v>
      </c>
      <c r="I25" s="2">
        <v>0.7</v>
      </c>
      <c r="J25" s="2">
        <v>1.8</v>
      </c>
      <c r="K25" s="6">
        <f>Sheet2!K25/100</f>
        <v>0.45</v>
      </c>
      <c r="L25" s="6">
        <f>Sheet2!L25/100</f>
        <v>0.55000000000000004</v>
      </c>
      <c r="M25" s="2">
        <v>3.4</v>
      </c>
      <c r="N25" s="3" t="str">
        <f t="shared" si="0"/>
        <v>0-2</v>
      </c>
      <c r="O25" s="2" t="s">
        <v>114</v>
      </c>
    </row>
    <row r="26" spans="1:15">
      <c r="A26" s="1">
        <v>46191</v>
      </c>
      <c r="B26" s="2" t="s">
        <v>15</v>
      </c>
      <c r="C26" s="2" t="s">
        <v>21</v>
      </c>
      <c r="D26" s="2" t="s">
        <v>17</v>
      </c>
      <c r="E26" s="2" t="s">
        <v>76</v>
      </c>
      <c r="F26" s="6">
        <f>Sheet2!F26/100</f>
        <v>0.52</v>
      </c>
      <c r="G26" s="6">
        <f>Sheet2!G26/100</f>
        <v>0.28000000000000003</v>
      </c>
      <c r="H26" s="6">
        <f>Sheet2!H26/100</f>
        <v>0.2</v>
      </c>
      <c r="I26" s="2">
        <v>1.7</v>
      </c>
      <c r="J26" s="2">
        <v>0.9</v>
      </c>
      <c r="K26" s="6">
        <f>Sheet2!K26/100</f>
        <v>0.54</v>
      </c>
      <c r="L26" s="6">
        <f>Sheet2!L26/100</f>
        <v>0.46</v>
      </c>
      <c r="M26" s="2">
        <v>2.9</v>
      </c>
      <c r="N26" s="3" t="str">
        <f t="shared" si="0"/>
        <v>1-0</v>
      </c>
      <c r="O26" s="2" t="s">
        <v>115</v>
      </c>
    </row>
    <row r="27" spans="1:15">
      <c r="A27" s="1">
        <v>46191</v>
      </c>
      <c r="B27" s="2" t="s">
        <v>24</v>
      </c>
      <c r="C27" s="2" t="s">
        <v>48</v>
      </c>
      <c r="D27" s="2" t="s">
        <v>26</v>
      </c>
      <c r="E27" s="2" t="s">
        <v>32</v>
      </c>
      <c r="F27" s="6">
        <f>Sheet2!F27/100</f>
        <v>0.55000000000000004</v>
      </c>
      <c r="G27" s="6">
        <f>Sheet2!G27/100</f>
        <v>0.26</v>
      </c>
      <c r="H27" s="6">
        <f>Sheet2!H27/100</f>
        <v>0.19</v>
      </c>
      <c r="I27" s="2">
        <v>1.8</v>
      </c>
      <c r="J27" s="2">
        <v>0.8</v>
      </c>
      <c r="K27" s="6">
        <f>Sheet2!K27/100</f>
        <v>0.55000000000000004</v>
      </c>
      <c r="L27" s="6">
        <f>Sheet2!L27/100</f>
        <v>0.45</v>
      </c>
      <c r="M27" s="2">
        <v>3</v>
      </c>
      <c r="N27" s="3" t="str">
        <f t="shared" si="0"/>
        <v>2-1</v>
      </c>
      <c r="O27" s="2" t="s">
        <v>116</v>
      </c>
    </row>
    <row r="28" spans="1:15">
      <c r="A28" s="1">
        <v>46191</v>
      </c>
      <c r="B28" s="2" t="s">
        <v>24</v>
      </c>
      <c r="C28" s="2" t="s">
        <v>25</v>
      </c>
      <c r="D28" s="2" t="s">
        <v>47</v>
      </c>
      <c r="E28" s="2" t="s">
        <v>41</v>
      </c>
      <c r="F28" s="6">
        <f>Sheet2!F28/100</f>
        <v>0.71</v>
      </c>
      <c r="G28" s="6">
        <f>Sheet2!G28/100</f>
        <v>0.18</v>
      </c>
      <c r="H28" s="6">
        <f>Sheet2!H28/100</f>
        <v>0.11</v>
      </c>
      <c r="I28" s="2">
        <v>2.2999999999999998</v>
      </c>
      <c r="J28" s="2">
        <v>0.5</v>
      </c>
      <c r="K28" s="6">
        <f>Sheet2!K28/100</f>
        <v>0.62</v>
      </c>
      <c r="L28" s="6">
        <f>Sheet2!L28/100</f>
        <v>0.38</v>
      </c>
      <c r="M28" s="2">
        <v>2.6</v>
      </c>
      <c r="N28" s="3" t="str">
        <f t="shared" si="0"/>
        <v>2-0</v>
      </c>
      <c r="O28" s="2" t="s">
        <v>117</v>
      </c>
    </row>
    <row r="29" spans="1:15">
      <c r="A29" s="1">
        <v>46191</v>
      </c>
      <c r="B29" s="2" t="s">
        <v>15</v>
      </c>
      <c r="C29" s="2" t="s">
        <v>16</v>
      </c>
      <c r="D29" s="2" t="s">
        <v>20</v>
      </c>
      <c r="E29" s="2" t="s">
        <v>22</v>
      </c>
      <c r="F29" s="6">
        <f>Sheet2!F29/100</f>
        <v>0.38</v>
      </c>
      <c r="G29" s="6">
        <f>Sheet2!G29/100</f>
        <v>0.31</v>
      </c>
      <c r="H29" s="6">
        <f>Sheet2!H29/100</f>
        <v>0.31</v>
      </c>
      <c r="I29" s="2">
        <v>1.3</v>
      </c>
      <c r="J29" s="2">
        <v>1.2</v>
      </c>
      <c r="K29" s="6">
        <f>Sheet2!K29/100</f>
        <v>0.5</v>
      </c>
      <c r="L29" s="6">
        <f>Sheet2!L29/100</f>
        <v>0.5</v>
      </c>
      <c r="M29" s="2">
        <v>3.2</v>
      </c>
      <c r="N29" s="3" t="str">
        <f t="shared" si="0"/>
        <v>1-1</v>
      </c>
      <c r="O29" s="2" t="s">
        <v>118</v>
      </c>
    </row>
    <row r="30" spans="1:15">
      <c r="A30" s="1">
        <v>46192</v>
      </c>
      <c r="B30" s="2" t="s">
        <v>34</v>
      </c>
      <c r="C30" s="2" t="s">
        <v>43</v>
      </c>
      <c r="D30" s="2" t="s">
        <v>35</v>
      </c>
      <c r="E30" s="2" t="s">
        <v>54</v>
      </c>
      <c r="F30" s="6">
        <f>Sheet2!F30/100</f>
        <v>0.84</v>
      </c>
      <c r="G30" s="6">
        <f>Sheet2!G30/100</f>
        <v>0.1</v>
      </c>
      <c r="H30" s="6">
        <f>Sheet2!H30/100</f>
        <v>0.06</v>
      </c>
      <c r="I30" s="2">
        <v>3.1</v>
      </c>
      <c r="J30" s="2">
        <v>0.3</v>
      </c>
      <c r="K30" s="6">
        <f>Sheet2!K30/100</f>
        <v>0.69</v>
      </c>
      <c r="L30" s="6">
        <f>Sheet2!L30/100</f>
        <v>0.31</v>
      </c>
      <c r="M30" s="2">
        <v>2.2000000000000002</v>
      </c>
      <c r="N30" s="3" t="str">
        <f t="shared" si="0"/>
        <v>4-0</v>
      </c>
      <c r="O30" s="2" t="s">
        <v>119</v>
      </c>
    </row>
    <row r="31" spans="1:15">
      <c r="A31" s="1">
        <v>46192</v>
      </c>
      <c r="B31" s="2" t="s">
        <v>34</v>
      </c>
      <c r="C31" s="2" t="s">
        <v>36</v>
      </c>
      <c r="D31" s="2" t="s">
        <v>44</v>
      </c>
      <c r="E31" s="2" t="s">
        <v>37</v>
      </c>
      <c r="F31" s="6">
        <f>Sheet2!F31/100</f>
        <v>0.34</v>
      </c>
      <c r="G31" s="6">
        <f>Sheet2!G31/100</f>
        <v>0.3</v>
      </c>
      <c r="H31" s="6">
        <f>Sheet2!H31/100</f>
        <v>0.36</v>
      </c>
      <c r="I31" s="2">
        <v>1.1000000000000001</v>
      </c>
      <c r="J31" s="2">
        <v>1.3</v>
      </c>
      <c r="K31" s="6">
        <f>Sheet2!K31/100</f>
        <v>0.49</v>
      </c>
      <c r="L31" s="6">
        <f>Sheet2!L31/100</f>
        <v>0.51</v>
      </c>
      <c r="M31" s="2">
        <v>3.3</v>
      </c>
      <c r="N31" s="3" t="str">
        <f t="shared" si="0"/>
        <v>0-1</v>
      </c>
      <c r="O31" s="2" t="s">
        <v>120</v>
      </c>
    </row>
    <row r="32" spans="1:15">
      <c r="A32" s="1">
        <v>46192</v>
      </c>
      <c r="B32" s="2" t="s">
        <v>29</v>
      </c>
      <c r="C32" s="2" t="s">
        <v>40</v>
      </c>
      <c r="D32" s="2" t="s">
        <v>31</v>
      </c>
      <c r="E32" s="2" t="s">
        <v>49</v>
      </c>
      <c r="F32" s="6">
        <f>Sheet2!F32/100</f>
        <v>0.4</v>
      </c>
      <c r="G32" s="6">
        <f>Sheet2!G32/100</f>
        <v>0.31</v>
      </c>
      <c r="H32" s="6">
        <f>Sheet2!H32/100</f>
        <v>0.28999999999999998</v>
      </c>
      <c r="I32" s="2">
        <v>1.4</v>
      </c>
      <c r="J32" s="2">
        <v>1.1000000000000001</v>
      </c>
      <c r="K32" s="6">
        <f>Sheet2!K32/100</f>
        <v>0.51</v>
      </c>
      <c r="L32" s="6">
        <f>Sheet2!L32/100</f>
        <v>0.49</v>
      </c>
      <c r="M32" s="2">
        <v>3.1</v>
      </c>
      <c r="N32" s="3" t="str">
        <f t="shared" si="0"/>
        <v>1-1</v>
      </c>
      <c r="O32" s="2" t="s">
        <v>23</v>
      </c>
    </row>
    <row r="33" spans="1:15">
      <c r="A33" s="1">
        <v>46192</v>
      </c>
      <c r="B33" s="2" t="s">
        <v>29</v>
      </c>
      <c r="C33" s="2" t="s">
        <v>30</v>
      </c>
      <c r="D33" s="2" t="s">
        <v>39</v>
      </c>
      <c r="E33" s="2" t="s">
        <v>84</v>
      </c>
      <c r="F33" s="6">
        <f>Sheet2!F33/100</f>
        <v>0.66</v>
      </c>
      <c r="G33" s="6">
        <f>Sheet2!G33/100</f>
        <v>0.2</v>
      </c>
      <c r="H33" s="6">
        <f>Sheet2!H33/100</f>
        <v>0.14000000000000001</v>
      </c>
      <c r="I33" s="2">
        <v>2.2000000000000002</v>
      </c>
      <c r="J33" s="2">
        <v>0.6</v>
      </c>
      <c r="K33" s="6">
        <f>Sheet2!K33/100</f>
        <v>0.6</v>
      </c>
      <c r="L33" s="6">
        <f>Sheet2!L33/100</f>
        <v>0.4</v>
      </c>
      <c r="M33" s="2">
        <v>2.6</v>
      </c>
      <c r="N33" s="3" t="str">
        <f t="shared" si="0"/>
        <v>2-0</v>
      </c>
      <c r="O33" s="2" t="s">
        <v>121</v>
      </c>
    </row>
    <row r="34" spans="1:15">
      <c r="A34" s="1">
        <v>46193</v>
      </c>
      <c r="B34" s="2" t="s">
        <v>51</v>
      </c>
      <c r="C34" s="2" t="s">
        <v>56</v>
      </c>
      <c r="D34" s="2" t="s">
        <v>52</v>
      </c>
      <c r="E34" s="2" t="s">
        <v>27</v>
      </c>
      <c r="F34" s="6">
        <f>Sheet2!F34/100</f>
        <v>0.69</v>
      </c>
      <c r="G34" s="6">
        <f>Sheet2!G34/100</f>
        <v>0.18</v>
      </c>
      <c r="H34" s="6">
        <f>Sheet2!H34/100</f>
        <v>0.13</v>
      </c>
      <c r="I34" s="2">
        <v>2.4</v>
      </c>
      <c r="J34" s="2">
        <v>0.6</v>
      </c>
      <c r="K34" s="6">
        <f>Sheet2!K34/100</f>
        <v>0.62</v>
      </c>
      <c r="L34" s="6">
        <f>Sheet2!L34/100</f>
        <v>0.38</v>
      </c>
      <c r="M34" s="2">
        <v>2.5</v>
      </c>
      <c r="N34" s="3" t="str">
        <f t="shared" si="0"/>
        <v>3-1</v>
      </c>
      <c r="O34" s="2" t="s">
        <v>122</v>
      </c>
    </row>
    <row r="35" spans="1:15">
      <c r="A35" s="1">
        <v>46193</v>
      </c>
      <c r="B35" s="2" t="s">
        <v>51</v>
      </c>
      <c r="C35" s="2" t="s">
        <v>53</v>
      </c>
      <c r="D35" s="2" t="s">
        <v>57</v>
      </c>
      <c r="E35" s="2" t="s">
        <v>96</v>
      </c>
      <c r="F35" s="6">
        <f>Sheet2!F35/100</f>
        <v>0.75</v>
      </c>
      <c r="G35" s="6">
        <f>Sheet2!G35/100</f>
        <v>0.16</v>
      </c>
      <c r="H35" s="6">
        <f>Sheet2!H35/100</f>
        <v>0.09</v>
      </c>
      <c r="I35" s="2">
        <v>2.5</v>
      </c>
      <c r="J35" s="2">
        <v>0.4</v>
      </c>
      <c r="K35" s="6">
        <f>Sheet2!K35/100</f>
        <v>0.64</v>
      </c>
      <c r="L35" s="6">
        <f>Sheet2!L35/100</f>
        <v>0.36</v>
      </c>
      <c r="M35" s="2">
        <v>2.4</v>
      </c>
      <c r="N35" s="3" t="str">
        <f t="shared" si="0"/>
        <v>3-0</v>
      </c>
      <c r="O35" s="2" t="s">
        <v>123</v>
      </c>
    </row>
    <row r="36" spans="1:15">
      <c r="A36" s="1">
        <v>46193</v>
      </c>
      <c r="B36" s="2" t="s">
        <v>60</v>
      </c>
      <c r="C36" s="2" t="s">
        <v>61</v>
      </c>
      <c r="D36" s="2" t="s">
        <v>65</v>
      </c>
      <c r="E36" s="2" t="s">
        <v>58</v>
      </c>
      <c r="F36" s="6">
        <f>Sheet2!F36/100</f>
        <v>0.56999999999999995</v>
      </c>
      <c r="G36" s="6">
        <f>Sheet2!G36/100</f>
        <v>0.24</v>
      </c>
      <c r="H36" s="6">
        <f>Sheet2!H36/100</f>
        <v>0.19</v>
      </c>
      <c r="I36" s="2">
        <v>1.9</v>
      </c>
      <c r="J36" s="2">
        <v>0.8</v>
      </c>
      <c r="K36" s="6">
        <f>Sheet2!K36/100</f>
        <v>0.56000000000000005</v>
      </c>
      <c r="L36" s="6">
        <f>Sheet2!L36/100</f>
        <v>0.44</v>
      </c>
      <c r="M36" s="2">
        <v>3</v>
      </c>
      <c r="N36" s="3" t="str">
        <f t="shared" si="0"/>
        <v>2-0</v>
      </c>
      <c r="O36" s="2" t="s">
        <v>124</v>
      </c>
    </row>
    <row r="37" spans="1:15">
      <c r="A37" s="1">
        <v>46193</v>
      </c>
      <c r="B37" s="2" t="s">
        <v>60</v>
      </c>
      <c r="C37" s="2" t="s">
        <v>66</v>
      </c>
      <c r="D37" s="2" t="s">
        <v>62</v>
      </c>
      <c r="E37" s="2" t="s">
        <v>67</v>
      </c>
      <c r="F37" s="6">
        <f>Sheet2!F37/100</f>
        <v>0.24</v>
      </c>
      <c r="G37" s="6">
        <f>Sheet2!G37/100</f>
        <v>0.26</v>
      </c>
      <c r="H37" s="6">
        <f>Sheet2!H37/100</f>
        <v>0.5</v>
      </c>
      <c r="I37" s="2">
        <v>0.8</v>
      </c>
      <c r="J37" s="2">
        <v>1.6</v>
      </c>
      <c r="K37" s="6">
        <f>Sheet2!K37/100</f>
        <v>0.45</v>
      </c>
      <c r="L37" s="6">
        <f>Sheet2!L37/100</f>
        <v>0.55000000000000004</v>
      </c>
      <c r="M37" s="2">
        <v>3.3</v>
      </c>
      <c r="N37" s="3" t="str">
        <f t="shared" si="0"/>
        <v>0-2</v>
      </c>
      <c r="O37" s="2" t="s">
        <v>125</v>
      </c>
    </row>
    <row r="38" spans="1:15">
      <c r="A38" s="1">
        <v>46194</v>
      </c>
      <c r="B38" s="2" t="s">
        <v>69</v>
      </c>
      <c r="C38" s="2" t="s">
        <v>71</v>
      </c>
      <c r="D38" s="2" t="s">
        <v>75</v>
      </c>
      <c r="E38" s="2" t="s">
        <v>72</v>
      </c>
      <c r="F38" s="6">
        <f>Sheet2!F38/100</f>
        <v>0.74</v>
      </c>
      <c r="G38" s="6">
        <f>Sheet2!G38/100</f>
        <v>0.16</v>
      </c>
      <c r="H38" s="6">
        <f>Sheet2!H38/100</f>
        <v>0.1</v>
      </c>
      <c r="I38" s="2">
        <v>2.4</v>
      </c>
      <c r="J38" s="2">
        <v>0.5</v>
      </c>
      <c r="K38" s="6">
        <f>Sheet2!K38/100</f>
        <v>0.63</v>
      </c>
      <c r="L38" s="6">
        <f>Sheet2!L38/100</f>
        <v>0.37</v>
      </c>
      <c r="M38" s="2">
        <v>2.4</v>
      </c>
      <c r="N38" s="3" t="str">
        <f t="shared" si="0"/>
        <v>2-0</v>
      </c>
      <c r="O38" s="2" t="s">
        <v>126</v>
      </c>
    </row>
    <row r="39" spans="1:15">
      <c r="A39" s="1">
        <v>46194</v>
      </c>
      <c r="B39" s="2" t="s">
        <v>69</v>
      </c>
      <c r="C39" s="2" t="s">
        <v>74</v>
      </c>
      <c r="D39" s="2" t="s">
        <v>70</v>
      </c>
      <c r="E39" s="2" t="s">
        <v>76</v>
      </c>
      <c r="F39" s="6">
        <f>Sheet2!F39/100</f>
        <v>0.82</v>
      </c>
      <c r="G39" s="6">
        <f>Sheet2!G39/100</f>
        <v>0.1</v>
      </c>
      <c r="H39" s="6">
        <f>Sheet2!H39/100</f>
        <v>0.08</v>
      </c>
      <c r="I39" s="2">
        <v>3</v>
      </c>
      <c r="J39" s="2">
        <v>0.3</v>
      </c>
      <c r="K39" s="6">
        <f>Sheet2!K39/100</f>
        <v>0.68</v>
      </c>
      <c r="L39" s="6">
        <f>Sheet2!L39/100</f>
        <v>0.32</v>
      </c>
      <c r="M39" s="2">
        <v>2.2000000000000002</v>
      </c>
      <c r="N39" s="3" t="str">
        <f t="shared" si="0"/>
        <v>3-0</v>
      </c>
      <c r="O39" s="2" t="s">
        <v>77</v>
      </c>
    </row>
    <row r="40" spans="1:15">
      <c r="A40" s="1">
        <v>46194</v>
      </c>
      <c r="B40" s="2" t="s">
        <v>78</v>
      </c>
      <c r="C40" s="2" t="s">
        <v>82</v>
      </c>
      <c r="D40" s="2" t="s">
        <v>79</v>
      </c>
      <c r="E40" s="2" t="s">
        <v>32</v>
      </c>
      <c r="F40" s="6">
        <f>Sheet2!F40/100</f>
        <v>0.79</v>
      </c>
      <c r="G40" s="6">
        <f>Sheet2!G40/100</f>
        <v>0.12</v>
      </c>
      <c r="H40" s="6">
        <f>Sheet2!H40/100</f>
        <v>0.09</v>
      </c>
      <c r="I40" s="2">
        <v>2.8</v>
      </c>
      <c r="J40" s="2">
        <v>0.4</v>
      </c>
      <c r="K40" s="6">
        <f>Sheet2!K40/100</f>
        <v>0.66</v>
      </c>
      <c r="L40" s="6">
        <f>Sheet2!L40/100</f>
        <v>0.34</v>
      </c>
      <c r="M40" s="2">
        <v>2.2999999999999998</v>
      </c>
      <c r="N40" s="3" t="str">
        <f t="shared" si="0"/>
        <v>3-0</v>
      </c>
      <c r="O40" s="2" t="s">
        <v>111</v>
      </c>
    </row>
    <row r="41" spans="1:15">
      <c r="A41" s="1">
        <v>46194</v>
      </c>
      <c r="B41" s="2" t="s">
        <v>78</v>
      </c>
      <c r="C41" s="2" t="s">
        <v>80</v>
      </c>
      <c r="D41" s="2" t="s">
        <v>83</v>
      </c>
      <c r="E41" s="2" t="s">
        <v>41</v>
      </c>
      <c r="F41" s="6">
        <f>Sheet2!F41/100</f>
        <v>0.17</v>
      </c>
      <c r="G41" s="6">
        <f>Sheet2!G41/100</f>
        <v>0.21</v>
      </c>
      <c r="H41" s="6">
        <f>Sheet2!H41/100</f>
        <v>0.62</v>
      </c>
      <c r="I41" s="2">
        <v>0.5</v>
      </c>
      <c r="J41" s="2">
        <v>2</v>
      </c>
      <c r="K41" s="6">
        <f>Sheet2!K41/100</f>
        <v>0.41</v>
      </c>
      <c r="L41" s="6">
        <f>Sheet2!L41/100</f>
        <v>0.59</v>
      </c>
      <c r="M41" s="2">
        <v>3.6</v>
      </c>
      <c r="N41" s="3" t="str">
        <f t="shared" si="0"/>
        <v>0-2</v>
      </c>
      <c r="O41" s="2" t="s">
        <v>127</v>
      </c>
    </row>
    <row r="42" spans="1:15">
      <c r="A42" s="1">
        <v>46195</v>
      </c>
      <c r="B42" s="2" t="s">
        <v>86</v>
      </c>
      <c r="C42" s="2" t="s">
        <v>91</v>
      </c>
      <c r="D42" s="2" t="s">
        <v>88</v>
      </c>
      <c r="E42" s="2" t="s">
        <v>45</v>
      </c>
      <c r="F42" s="6">
        <f>Sheet2!F42/100</f>
        <v>0.44</v>
      </c>
      <c r="G42" s="6">
        <f>Sheet2!G42/100</f>
        <v>0.28999999999999998</v>
      </c>
      <c r="H42" s="6">
        <f>Sheet2!H42/100</f>
        <v>0.27</v>
      </c>
      <c r="I42" s="2">
        <v>1.5</v>
      </c>
      <c r="J42" s="2">
        <v>1</v>
      </c>
      <c r="K42" s="6">
        <f>Sheet2!K42/100</f>
        <v>0.52</v>
      </c>
      <c r="L42" s="6">
        <f>Sheet2!L42/100</f>
        <v>0.48</v>
      </c>
      <c r="M42" s="2">
        <v>3.1</v>
      </c>
      <c r="N42" s="3" t="str">
        <f t="shared" si="0"/>
        <v>1-2</v>
      </c>
      <c r="O42" s="2" t="s">
        <v>128</v>
      </c>
    </row>
    <row r="43" spans="1:15">
      <c r="A43" s="1">
        <v>46195</v>
      </c>
      <c r="B43" s="2" t="s">
        <v>86</v>
      </c>
      <c r="C43" s="2" t="s">
        <v>87</v>
      </c>
      <c r="D43" s="2" t="s">
        <v>90</v>
      </c>
      <c r="E43" s="2" t="s">
        <v>54</v>
      </c>
      <c r="F43" s="6">
        <f>Sheet2!F43/100</f>
        <v>0.83</v>
      </c>
      <c r="G43" s="6">
        <f>Sheet2!G43/100</f>
        <v>0.1</v>
      </c>
      <c r="H43" s="6">
        <f>Sheet2!H43/100</f>
        <v>7.0000000000000007E-2</v>
      </c>
      <c r="I43" s="2">
        <v>3</v>
      </c>
      <c r="J43" s="2">
        <v>0.3</v>
      </c>
      <c r="K43" s="6">
        <f>Sheet2!K43/100</f>
        <v>0.69</v>
      </c>
      <c r="L43" s="6">
        <f>Sheet2!L43/100</f>
        <v>0.31</v>
      </c>
      <c r="M43" s="2">
        <v>2.2000000000000002</v>
      </c>
      <c r="N43" s="3" t="str">
        <f t="shared" si="0"/>
        <v>4-0</v>
      </c>
      <c r="O43" s="2" t="s">
        <v>129</v>
      </c>
    </row>
    <row r="44" spans="1:15">
      <c r="A44" s="1">
        <v>46195</v>
      </c>
      <c r="B44" s="2" t="s">
        <v>93</v>
      </c>
      <c r="C44" s="2" t="s">
        <v>94</v>
      </c>
      <c r="D44" s="2" t="s">
        <v>98</v>
      </c>
      <c r="E44" s="2" t="s">
        <v>63</v>
      </c>
      <c r="F44" s="6">
        <f>Sheet2!F44/100</f>
        <v>0.77</v>
      </c>
      <c r="G44" s="6">
        <f>Sheet2!G44/100</f>
        <v>0.14000000000000001</v>
      </c>
      <c r="H44" s="6">
        <f>Sheet2!H44/100</f>
        <v>0.09</v>
      </c>
      <c r="I44" s="2">
        <v>2.6</v>
      </c>
      <c r="J44" s="2">
        <v>0.5</v>
      </c>
      <c r="K44" s="6">
        <f>Sheet2!K44/100</f>
        <v>0.65</v>
      </c>
      <c r="L44" s="6">
        <f>Sheet2!L44/100</f>
        <v>0.35</v>
      </c>
      <c r="M44" s="2">
        <v>2.4</v>
      </c>
      <c r="N44" s="3" t="str">
        <f t="shared" si="0"/>
        <v>3-0</v>
      </c>
      <c r="O44" s="2" t="s">
        <v>130</v>
      </c>
    </row>
    <row r="45" spans="1:15">
      <c r="A45" s="1">
        <v>46195</v>
      </c>
      <c r="B45" s="2" t="s">
        <v>93</v>
      </c>
      <c r="C45" s="2" t="s">
        <v>99</v>
      </c>
      <c r="D45" s="2" t="s">
        <v>95</v>
      </c>
      <c r="E45" s="2" t="s">
        <v>49</v>
      </c>
      <c r="F45" s="6">
        <f>Sheet2!F45/100</f>
        <v>0.28000000000000003</v>
      </c>
      <c r="G45" s="6">
        <f>Sheet2!G45/100</f>
        <v>0.28999999999999998</v>
      </c>
      <c r="H45" s="6">
        <f>Sheet2!H45/100</f>
        <v>0.43</v>
      </c>
      <c r="I45" s="2">
        <v>0.9</v>
      </c>
      <c r="J45" s="2">
        <v>1.4</v>
      </c>
      <c r="K45" s="6">
        <f>Sheet2!K45/100</f>
        <v>0.46</v>
      </c>
      <c r="L45" s="6">
        <f>Sheet2!L45/100</f>
        <v>0.54</v>
      </c>
      <c r="M45" s="2">
        <v>3.2</v>
      </c>
      <c r="N45" s="3" t="str">
        <f t="shared" si="0"/>
        <v>1-1</v>
      </c>
      <c r="O45" s="2" t="s">
        <v>131</v>
      </c>
    </row>
    <row r="46" spans="1:15">
      <c r="A46" s="1">
        <v>46196</v>
      </c>
      <c r="B46" s="2" t="s">
        <v>101</v>
      </c>
      <c r="C46" s="2" t="s">
        <v>105</v>
      </c>
      <c r="D46" s="2" t="s">
        <v>102</v>
      </c>
      <c r="E46" s="2" t="s">
        <v>37</v>
      </c>
      <c r="F46" s="6">
        <f>Sheet2!F46/100</f>
        <v>0.78</v>
      </c>
      <c r="G46" s="6">
        <f>Sheet2!G46/100</f>
        <v>0.13</v>
      </c>
      <c r="H46" s="6">
        <f>Sheet2!H46/100</f>
        <v>0.09</v>
      </c>
      <c r="I46" s="2">
        <v>2.7</v>
      </c>
      <c r="J46" s="2">
        <v>0.4</v>
      </c>
      <c r="K46" s="6">
        <f>Sheet2!K46/100</f>
        <v>0.66</v>
      </c>
      <c r="L46" s="6">
        <f>Sheet2!L46/100</f>
        <v>0.34</v>
      </c>
      <c r="M46" s="2">
        <v>2.2999999999999998</v>
      </c>
      <c r="N46" s="3" t="str">
        <f t="shared" si="0"/>
        <v>2-0</v>
      </c>
      <c r="O46" s="2" t="s">
        <v>132</v>
      </c>
    </row>
    <row r="47" spans="1:15">
      <c r="A47" s="1">
        <v>46196</v>
      </c>
      <c r="B47" s="2" t="s">
        <v>101</v>
      </c>
      <c r="C47" s="2" t="s">
        <v>103</v>
      </c>
      <c r="D47" s="2" t="s">
        <v>106</v>
      </c>
      <c r="E47" s="2" t="s">
        <v>27</v>
      </c>
      <c r="F47" s="6">
        <f>Sheet2!F47/100</f>
        <v>0.2</v>
      </c>
      <c r="G47" s="6">
        <f>Sheet2!G47/100</f>
        <v>0.23</v>
      </c>
      <c r="H47" s="6">
        <f>Sheet2!H47/100</f>
        <v>0.56999999999999995</v>
      </c>
      <c r="I47" s="2">
        <v>0.7</v>
      </c>
      <c r="J47" s="2">
        <v>1.8</v>
      </c>
      <c r="K47" s="6">
        <f>Sheet2!K47/100</f>
        <v>0.43</v>
      </c>
      <c r="L47" s="6">
        <f>Sheet2!L47/100</f>
        <v>0.56999999999999995</v>
      </c>
      <c r="M47" s="2">
        <v>3.4</v>
      </c>
      <c r="N47" s="3" t="str">
        <f t="shared" si="0"/>
        <v>0-2</v>
      </c>
      <c r="O47" s="2" t="s">
        <v>133</v>
      </c>
    </row>
    <row r="48" spans="1:15">
      <c r="A48" s="1">
        <v>46196</v>
      </c>
      <c r="B48" s="2" t="s">
        <v>108</v>
      </c>
      <c r="C48" s="2" t="s">
        <v>109</v>
      </c>
      <c r="D48" s="2" t="s">
        <v>112</v>
      </c>
      <c r="E48" s="2" t="s">
        <v>58</v>
      </c>
      <c r="F48" s="6">
        <f>Sheet2!F48/100</f>
        <v>0.84</v>
      </c>
      <c r="G48" s="6">
        <f>Sheet2!G48/100</f>
        <v>0.1</v>
      </c>
      <c r="H48" s="6">
        <f>Sheet2!H48/100</f>
        <v>0.06</v>
      </c>
      <c r="I48" s="2">
        <v>3.1</v>
      </c>
      <c r="J48" s="2">
        <v>0.3</v>
      </c>
      <c r="K48" s="6">
        <f>Sheet2!K48/100</f>
        <v>0.69</v>
      </c>
      <c r="L48" s="6">
        <f>Sheet2!L48/100</f>
        <v>0.31</v>
      </c>
      <c r="M48" s="2">
        <v>2.2000000000000002</v>
      </c>
      <c r="N48" s="3" t="str">
        <f t="shared" si="0"/>
        <v>4-0</v>
      </c>
      <c r="O48" s="2" t="s">
        <v>134</v>
      </c>
    </row>
    <row r="49" spans="1:15">
      <c r="A49" s="1">
        <v>46196</v>
      </c>
      <c r="B49" s="2" t="s">
        <v>108</v>
      </c>
      <c r="C49" s="2" t="s">
        <v>113</v>
      </c>
      <c r="D49" s="2" t="s">
        <v>110</v>
      </c>
      <c r="E49" s="2" t="s">
        <v>22</v>
      </c>
      <c r="F49" s="6">
        <f>Sheet2!F49/100</f>
        <v>0.73</v>
      </c>
      <c r="G49" s="6">
        <f>Sheet2!G49/100</f>
        <v>0.15</v>
      </c>
      <c r="H49" s="6">
        <f>Sheet2!H49/100</f>
        <v>0.12</v>
      </c>
      <c r="I49" s="2">
        <v>2.4</v>
      </c>
      <c r="J49" s="2">
        <v>0.5</v>
      </c>
      <c r="K49" s="6">
        <f>Sheet2!K49/100</f>
        <v>0.63</v>
      </c>
      <c r="L49" s="6">
        <f>Sheet2!L49/100</f>
        <v>0.37</v>
      </c>
      <c r="M49" s="2">
        <v>2.5</v>
      </c>
      <c r="N49" s="3" t="str">
        <f t="shared" si="0"/>
        <v>2-0</v>
      </c>
      <c r="O49" s="2" t="s">
        <v>135</v>
      </c>
    </row>
    <row r="50" spans="1:15">
      <c r="A50" s="1">
        <v>46197</v>
      </c>
      <c r="B50" s="2" t="s">
        <v>34</v>
      </c>
      <c r="C50" s="2" t="s">
        <v>36</v>
      </c>
      <c r="D50" s="2" t="s">
        <v>43</v>
      </c>
      <c r="E50" s="2" t="s">
        <v>72</v>
      </c>
      <c r="F50" s="6">
        <f>Sheet2!F50/100</f>
        <v>0.14000000000000001</v>
      </c>
      <c r="G50" s="6">
        <f>Sheet2!G50/100</f>
        <v>0.14000000000000001</v>
      </c>
      <c r="H50" s="6">
        <f>Sheet2!H50/100</f>
        <v>0.72</v>
      </c>
      <c r="I50" s="2">
        <v>0.4</v>
      </c>
      <c r="J50" s="2">
        <v>2.4</v>
      </c>
      <c r="K50" s="6">
        <f>Sheet2!K50/100</f>
        <v>0.33</v>
      </c>
      <c r="L50" s="6">
        <f>Sheet2!L50/100</f>
        <v>0.67</v>
      </c>
      <c r="M50" s="2">
        <v>3.8</v>
      </c>
      <c r="N50" s="3" t="str">
        <f t="shared" si="0"/>
        <v>0-3</v>
      </c>
      <c r="O50" s="2" t="s">
        <v>136</v>
      </c>
    </row>
    <row r="51" spans="1:15">
      <c r="A51" s="1">
        <v>46197</v>
      </c>
      <c r="B51" s="2" t="s">
        <v>34</v>
      </c>
      <c r="C51" s="2" t="s">
        <v>44</v>
      </c>
      <c r="D51" s="2" t="s">
        <v>35</v>
      </c>
      <c r="E51" s="2" t="s">
        <v>76</v>
      </c>
      <c r="F51" s="6">
        <f>Sheet2!F51/100</f>
        <v>0.79</v>
      </c>
      <c r="G51" s="6">
        <f>Sheet2!G51/100</f>
        <v>0.12</v>
      </c>
      <c r="H51" s="6">
        <f>Sheet2!H51/100</f>
        <v>0.09</v>
      </c>
      <c r="I51" s="2">
        <v>2.7</v>
      </c>
      <c r="J51" s="2">
        <v>0.4</v>
      </c>
      <c r="K51" s="6">
        <f>Sheet2!K51/100</f>
        <v>0.66</v>
      </c>
      <c r="L51" s="6">
        <f>Sheet2!L51/100</f>
        <v>0.34</v>
      </c>
      <c r="M51" s="2">
        <v>2.2999999999999998</v>
      </c>
      <c r="N51" s="3" t="str">
        <f t="shared" si="0"/>
        <v>3-0</v>
      </c>
      <c r="O51" s="2" t="s">
        <v>137</v>
      </c>
    </row>
    <row r="52" spans="1:15">
      <c r="A52" s="1">
        <v>46197</v>
      </c>
      <c r="B52" s="2" t="s">
        <v>24</v>
      </c>
      <c r="C52" s="2" t="s">
        <v>48</v>
      </c>
      <c r="D52" s="2" t="s">
        <v>25</v>
      </c>
      <c r="E52" s="2" t="s">
        <v>41</v>
      </c>
      <c r="F52" s="6">
        <f>Sheet2!F52/100</f>
        <v>0.38</v>
      </c>
      <c r="G52" s="6">
        <f>Sheet2!G52/100</f>
        <v>0.31</v>
      </c>
      <c r="H52" s="6">
        <f>Sheet2!H52/100</f>
        <v>0.31</v>
      </c>
      <c r="I52" s="2">
        <v>1.3</v>
      </c>
      <c r="J52" s="2">
        <v>1.2</v>
      </c>
      <c r="K52" s="6">
        <f>Sheet2!K52/100</f>
        <v>0.51</v>
      </c>
      <c r="L52" s="6">
        <f>Sheet2!L52/100</f>
        <v>0.49</v>
      </c>
      <c r="M52" s="2">
        <v>3.2</v>
      </c>
      <c r="N52" s="3" t="str">
        <f t="shared" si="0"/>
        <v>1-1</v>
      </c>
      <c r="O52" s="2" t="s">
        <v>138</v>
      </c>
    </row>
    <row r="53" spans="1:15">
      <c r="A53" s="1">
        <v>46197</v>
      </c>
      <c r="B53" s="2" t="s">
        <v>24</v>
      </c>
      <c r="C53" s="2" t="s">
        <v>26</v>
      </c>
      <c r="D53" s="2" t="s">
        <v>47</v>
      </c>
      <c r="E53" s="2" t="s">
        <v>84</v>
      </c>
      <c r="F53" s="6">
        <f>Sheet2!F53/100</f>
        <v>0.63</v>
      </c>
      <c r="G53" s="6">
        <f>Sheet2!G53/100</f>
        <v>0.22</v>
      </c>
      <c r="H53" s="6">
        <f>Sheet2!H53/100</f>
        <v>0.15</v>
      </c>
      <c r="I53" s="2">
        <v>2.1</v>
      </c>
      <c r="J53" s="2">
        <v>0.7</v>
      </c>
      <c r="K53" s="6">
        <f>Sheet2!K53/100</f>
        <v>0.57999999999999996</v>
      </c>
      <c r="L53" s="6">
        <f>Sheet2!L53/100</f>
        <v>0.42</v>
      </c>
      <c r="M53" s="2">
        <v>2.8</v>
      </c>
      <c r="N53" s="3" t="str">
        <f t="shared" si="0"/>
        <v>2-0</v>
      </c>
      <c r="O53" s="2" t="s">
        <v>68</v>
      </c>
    </row>
    <row r="54" spans="1:15">
      <c r="A54" s="1">
        <v>46197</v>
      </c>
      <c r="B54" s="2" t="s">
        <v>15</v>
      </c>
      <c r="C54" s="2" t="s">
        <v>21</v>
      </c>
      <c r="D54" s="2" t="s">
        <v>16</v>
      </c>
      <c r="E54" s="2" t="s">
        <v>18</v>
      </c>
      <c r="F54" s="6">
        <f>Sheet2!F54/100</f>
        <v>0.26</v>
      </c>
      <c r="G54" s="6">
        <f>Sheet2!G54/100</f>
        <v>0.24</v>
      </c>
      <c r="H54" s="6">
        <f>Sheet2!H54/100</f>
        <v>0.5</v>
      </c>
      <c r="I54" s="2">
        <v>0.9</v>
      </c>
      <c r="J54" s="2">
        <v>1.6</v>
      </c>
      <c r="K54" s="6">
        <f>Sheet2!K54/100</f>
        <v>0.45</v>
      </c>
      <c r="L54" s="6">
        <f>Sheet2!L54/100</f>
        <v>0.55000000000000004</v>
      </c>
      <c r="M54" s="2">
        <v>3.3</v>
      </c>
      <c r="N54" s="3" t="str">
        <f t="shared" si="0"/>
        <v>0-2</v>
      </c>
      <c r="O54" s="2" t="s">
        <v>139</v>
      </c>
    </row>
    <row r="55" spans="1:15">
      <c r="A55" s="1">
        <v>46197</v>
      </c>
      <c r="B55" s="2" t="s">
        <v>15</v>
      </c>
      <c r="C55" s="2" t="s">
        <v>17</v>
      </c>
      <c r="D55" s="2" t="s">
        <v>20</v>
      </c>
      <c r="E55" s="2" t="s">
        <v>67</v>
      </c>
      <c r="F55" s="6">
        <f>Sheet2!F55/100</f>
        <v>0.22</v>
      </c>
      <c r="G55" s="6">
        <f>Sheet2!G55/100</f>
        <v>0.23</v>
      </c>
      <c r="H55" s="6">
        <f>Sheet2!H55/100</f>
        <v>0.55000000000000004</v>
      </c>
      <c r="I55" s="2">
        <v>0.8</v>
      </c>
      <c r="J55" s="2">
        <v>1.7</v>
      </c>
      <c r="K55" s="6">
        <f>Sheet2!K55/100</f>
        <v>0.44</v>
      </c>
      <c r="L55" s="6">
        <f>Sheet2!L55/100</f>
        <v>0.56000000000000005</v>
      </c>
      <c r="M55" s="2">
        <v>3.3</v>
      </c>
      <c r="N55" s="3" t="str">
        <f t="shared" si="0"/>
        <v>0-2</v>
      </c>
      <c r="O55" s="2" t="s">
        <v>140</v>
      </c>
    </row>
    <row r="56" spans="1:15">
      <c r="A56" s="1">
        <v>46198</v>
      </c>
      <c r="B56" s="2" t="s">
        <v>51</v>
      </c>
      <c r="C56" s="2" t="s">
        <v>57</v>
      </c>
      <c r="D56" s="2" t="s">
        <v>52</v>
      </c>
      <c r="E56" s="2" t="s">
        <v>54</v>
      </c>
      <c r="F56" s="6">
        <f>Sheet2!F56/100</f>
        <v>0.17</v>
      </c>
      <c r="G56" s="6">
        <f>Sheet2!G56/100</f>
        <v>0.21</v>
      </c>
      <c r="H56" s="6">
        <f>Sheet2!H56/100</f>
        <v>0.62</v>
      </c>
      <c r="I56" s="2">
        <v>0.5</v>
      </c>
      <c r="J56" s="2">
        <v>2</v>
      </c>
      <c r="K56" s="6">
        <f>Sheet2!K56/100</f>
        <v>0.41</v>
      </c>
      <c r="L56" s="6">
        <f>Sheet2!L56/100</f>
        <v>0.59</v>
      </c>
      <c r="M56" s="2">
        <v>3.6</v>
      </c>
      <c r="N56" s="3" t="str">
        <f t="shared" si="0"/>
        <v>0-2</v>
      </c>
      <c r="O56" s="2" t="s">
        <v>141</v>
      </c>
    </row>
    <row r="57" spans="1:15">
      <c r="A57" s="1">
        <v>46198</v>
      </c>
      <c r="B57" s="2" t="s">
        <v>51</v>
      </c>
      <c r="C57" s="2" t="s">
        <v>53</v>
      </c>
      <c r="D57" s="2" t="s">
        <v>56</v>
      </c>
      <c r="E57" s="2" t="s">
        <v>45</v>
      </c>
      <c r="F57" s="6">
        <f>Sheet2!F57/100</f>
        <v>0.23</v>
      </c>
      <c r="G57" s="6">
        <f>Sheet2!G57/100</f>
        <v>0.25</v>
      </c>
      <c r="H57" s="6">
        <f>Sheet2!H57/100</f>
        <v>0.52</v>
      </c>
      <c r="I57" s="2">
        <v>0.8</v>
      </c>
      <c r="J57" s="2">
        <v>1.7</v>
      </c>
      <c r="K57" s="6">
        <f>Sheet2!K57/100</f>
        <v>0.45</v>
      </c>
      <c r="L57" s="6">
        <f>Sheet2!L57/100</f>
        <v>0.55000000000000004</v>
      </c>
      <c r="M57" s="2">
        <v>3.3</v>
      </c>
      <c r="N57" s="3" t="str">
        <f t="shared" si="0"/>
        <v>0-2</v>
      </c>
      <c r="O57" s="2" t="s">
        <v>142</v>
      </c>
    </row>
    <row r="58" spans="1:15">
      <c r="A58" s="1">
        <v>46198</v>
      </c>
      <c r="B58" s="2" t="s">
        <v>60</v>
      </c>
      <c r="C58" s="2" t="s">
        <v>62</v>
      </c>
      <c r="D58" s="2" t="s">
        <v>65</v>
      </c>
      <c r="E58" s="2" t="s">
        <v>63</v>
      </c>
      <c r="F58" s="6">
        <f>Sheet2!F58/100</f>
        <v>0.34</v>
      </c>
      <c r="G58" s="6">
        <f>Sheet2!G58/100</f>
        <v>0.3</v>
      </c>
      <c r="H58" s="6">
        <f>Sheet2!H58/100</f>
        <v>0.36</v>
      </c>
      <c r="I58" s="2">
        <v>1.1000000000000001</v>
      </c>
      <c r="J58" s="2">
        <v>1.3</v>
      </c>
      <c r="K58" s="6">
        <f>Sheet2!K58/100</f>
        <v>0.49</v>
      </c>
      <c r="L58" s="6">
        <f>Sheet2!L58/100</f>
        <v>0.51</v>
      </c>
      <c r="M58" s="2">
        <v>3.2</v>
      </c>
      <c r="N58" s="3" t="str">
        <f t="shared" si="0"/>
        <v>1-1</v>
      </c>
      <c r="O58" s="2" t="s">
        <v>28</v>
      </c>
    </row>
    <row r="59" spans="1:15">
      <c r="A59" s="1">
        <v>46198</v>
      </c>
      <c r="B59" s="2" t="s">
        <v>60</v>
      </c>
      <c r="C59" s="2" t="s">
        <v>66</v>
      </c>
      <c r="D59" s="2" t="s">
        <v>61</v>
      </c>
      <c r="E59" s="2" t="s">
        <v>96</v>
      </c>
      <c r="F59" s="6">
        <f>Sheet2!F59/100</f>
        <v>0.15</v>
      </c>
      <c r="G59" s="6">
        <f>Sheet2!G59/100</f>
        <v>0.23</v>
      </c>
      <c r="H59" s="6">
        <f>Sheet2!H59/100</f>
        <v>0.62</v>
      </c>
      <c r="I59" s="2">
        <v>0.5</v>
      </c>
      <c r="J59" s="2">
        <v>2</v>
      </c>
      <c r="K59" s="6">
        <f>Sheet2!K59/100</f>
        <v>0.42</v>
      </c>
      <c r="L59" s="6">
        <f>Sheet2!L59/100</f>
        <v>0.57999999999999996</v>
      </c>
      <c r="M59" s="2">
        <v>3.5</v>
      </c>
      <c r="N59" s="3" t="str">
        <f t="shared" si="0"/>
        <v>0-3</v>
      </c>
      <c r="O59" s="2" t="s">
        <v>143</v>
      </c>
    </row>
    <row r="60" spans="1:15">
      <c r="A60" s="1">
        <v>46198</v>
      </c>
      <c r="B60" s="2" t="s">
        <v>29</v>
      </c>
      <c r="C60" s="2" t="s">
        <v>40</v>
      </c>
      <c r="D60" s="2" t="s">
        <v>30</v>
      </c>
      <c r="E60" s="2" t="s">
        <v>32</v>
      </c>
      <c r="F60" s="6">
        <f>Sheet2!F60/100</f>
        <v>0.36</v>
      </c>
      <c r="G60" s="6">
        <f>Sheet2!G60/100</f>
        <v>0.28999999999999998</v>
      </c>
      <c r="H60" s="6">
        <f>Sheet2!H60/100</f>
        <v>0.35</v>
      </c>
      <c r="I60" s="2">
        <v>1.2</v>
      </c>
      <c r="J60" s="2">
        <v>1.2</v>
      </c>
      <c r="K60" s="6">
        <f>Sheet2!K60/100</f>
        <v>0.49</v>
      </c>
      <c r="L60" s="6">
        <f>Sheet2!L60/100</f>
        <v>0.51</v>
      </c>
      <c r="M60" s="2">
        <v>3.1</v>
      </c>
      <c r="N60" s="3" t="str">
        <f t="shared" si="0"/>
        <v>2-1</v>
      </c>
      <c r="O60" s="2" t="s">
        <v>42</v>
      </c>
    </row>
    <row r="61" spans="1:15">
      <c r="A61" s="1">
        <v>46198</v>
      </c>
      <c r="B61" s="2" t="s">
        <v>29</v>
      </c>
      <c r="C61" s="2" t="s">
        <v>31</v>
      </c>
      <c r="D61" s="2" t="s">
        <v>39</v>
      </c>
      <c r="E61" s="2" t="s">
        <v>49</v>
      </c>
      <c r="F61" s="6">
        <f>Sheet2!F61/100</f>
        <v>0.43</v>
      </c>
      <c r="G61" s="6">
        <f>Sheet2!G61/100</f>
        <v>0.31</v>
      </c>
      <c r="H61" s="6">
        <f>Sheet2!H61/100</f>
        <v>0.26</v>
      </c>
      <c r="I61" s="2">
        <v>1.5</v>
      </c>
      <c r="J61" s="2">
        <v>1</v>
      </c>
      <c r="K61" s="6">
        <f>Sheet2!K61/100</f>
        <v>0.52</v>
      </c>
      <c r="L61" s="6">
        <f>Sheet2!L61/100</f>
        <v>0.48</v>
      </c>
      <c r="M61" s="2">
        <v>3</v>
      </c>
      <c r="N61" s="3" t="str">
        <f t="shared" si="0"/>
        <v>1-0</v>
      </c>
      <c r="O61" s="2" t="s">
        <v>144</v>
      </c>
    </row>
    <row r="62" spans="1:15">
      <c r="A62" s="1">
        <v>46199</v>
      </c>
      <c r="B62" s="2" t="s">
        <v>86</v>
      </c>
      <c r="C62" s="2" t="s">
        <v>91</v>
      </c>
      <c r="D62" s="2" t="s">
        <v>87</v>
      </c>
      <c r="E62" s="2" t="s">
        <v>37</v>
      </c>
      <c r="F62" s="6">
        <f>Sheet2!F62/100</f>
        <v>0.21</v>
      </c>
      <c r="G62" s="6">
        <f>Sheet2!G62/100</f>
        <v>0.22</v>
      </c>
      <c r="H62" s="6">
        <f>Sheet2!H62/100</f>
        <v>0.56999999999999995</v>
      </c>
      <c r="I62" s="2">
        <v>0.7</v>
      </c>
      <c r="J62" s="2">
        <v>1.8</v>
      </c>
      <c r="K62" s="6">
        <f>Sheet2!K62/100</f>
        <v>0.43</v>
      </c>
      <c r="L62" s="6">
        <f>Sheet2!L62/100</f>
        <v>0.56999999999999995</v>
      </c>
      <c r="M62" s="2">
        <v>3.4</v>
      </c>
      <c r="N62" s="3" t="str">
        <f t="shared" si="0"/>
        <v>1-2</v>
      </c>
      <c r="O62" s="2" t="s">
        <v>128</v>
      </c>
    </row>
    <row r="63" spans="1:15">
      <c r="A63" s="1">
        <v>46199</v>
      </c>
      <c r="B63" s="2" t="s">
        <v>86</v>
      </c>
      <c r="C63" s="2" t="s">
        <v>88</v>
      </c>
      <c r="D63" s="2" t="s">
        <v>90</v>
      </c>
      <c r="E63" s="2" t="s">
        <v>27</v>
      </c>
      <c r="F63" s="6">
        <f>Sheet2!F63/100</f>
        <v>0.74</v>
      </c>
      <c r="G63" s="6">
        <f>Sheet2!G63/100</f>
        <v>0.16</v>
      </c>
      <c r="H63" s="6">
        <f>Sheet2!H63/100</f>
        <v>0.1</v>
      </c>
      <c r="I63" s="2">
        <v>2.4</v>
      </c>
      <c r="J63" s="2">
        <v>0.5</v>
      </c>
      <c r="K63" s="6">
        <f>Sheet2!K63/100</f>
        <v>0.63</v>
      </c>
      <c r="L63" s="6">
        <f>Sheet2!L63/100</f>
        <v>0.37</v>
      </c>
      <c r="M63" s="2">
        <v>2.4</v>
      </c>
      <c r="N63" s="3" t="str">
        <f t="shared" si="0"/>
        <v>2-0</v>
      </c>
      <c r="O63" s="2" t="s">
        <v>145</v>
      </c>
    </row>
    <row r="64" spans="1:15">
      <c r="A64" s="1">
        <v>46199</v>
      </c>
      <c r="B64" s="2" t="s">
        <v>78</v>
      </c>
      <c r="C64" s="2" t="s">
        <v>83</v>
      </c>
      <c r="D64" s="2" t="s">
        <v>79</v>
      </c>
      <c r="E64" s="2" t="s">
        <v>84</v>
      </c>
      <c r="F64" s="6">
        <f>Sheet2!F64/100</f>
        <v>0.38</v>
      </c>
      <c r="G64" s="6">
        <f>Sheet2!G64/100</f>
        <v>0.3</v>
      </c>
      <c r="H64" s="6">
        <f>Sheet2!H64/100</f>
        <v>0.32</v>
      </c>
      <c r="I64" s="2">
        <v>1.3</v>
      </c>
      <c r="J64" s="2">
        <v>1.1000000000000001</v>
      </c>
      <c r="K64" s="6">
        <f>Sheet2!K64/100</f>
        <v>0.51</v>
      </c>
      <c r="L64" s="6">
        <f>Sheet2!L64/100</f>
        <v>0.49</v>
      </c>
      <c r="M64" s="2">
        <v>3.1</v>
      </c>
      <c r="N64" s="3" t="str">
        <f t="shared" si="0"/>
        <v>1-1</v>
      </c>
      <c r="O64" s="2" t="s">
        <v>146</v>
      </c>
    </row>
    <row r="65" spans="1:15">
      <c r="A65" s="1">
        <v>46199</v>
      </c>
      <c r="B65" s="2" t="s">
        <v>78</v>
      </c>
      <c r="C65" s="2" t="s">
        <v>80</v>
      </c>
      <c r="D65" s="2" t="s">
        <v>82</v>
      </c>
      <c r="E65" s="2" t="s">
        <v>41</v>
      </c>
      <c r="F65" s="6">
        <f>Sheet2!F65/100</f>
        <v>0.12</v>
      </c>
      <c r="G65" s="6">
        <f>Sheet2!G65/100</f>
        <v>0.18</v>
      </c>
      <c r="H65" s="6">
        <f>Sheet2!H65/100</f>
        <v>0.7</v>
      </c>
      <c r="I65" s="2">
        <v>0.3</v>
      </c>
      <c r="J65" s="2">
        <v>2.2999999999999998</v>
      </c>
      <c r="K65" s="6">
        <f>Sheet2!K65/100</f>
        <v>0.35</v>
      </c>
      <c r="L65" s="6">
        <f>Sheet2!L65/100</f>
        <v>0.65</v>
      </c>
      <c r="M65" s="2">
        <v>3.7</v>
      </c>
      <c r="N65" s="3" t="str">
        <f t="shared" si="0"/>
        <v>0-4</v>
      </c>
      <c r="O65" s="2" t="s">
        <v>147</v>
      </c>
    </row>
    <row r="66" spans="1:15">
      <c r="A66" s="1">
        <v>46199</v>
      </c>
      <c r="B66" s="2" t="s">
        <v>69</v>
      </c>
      <c r="C66" s="2" t="s">
        <v>75</v>
      </c>
      <c r="D66" s="2" t="s">
        <v>70</v>
      </c>
      <c r="E66" s="2" t="s">
        <v>58</v>
      </c>
      <c r="F66" s="6">
        <f>Sheet2!F66/100</f>
        <v>0.31</v>
      </c>
      <c r="G66" s="6">
        <f>Sheet2!G66/100</f>
        <v>0.3</v>
      </c>
      <c r="H66" s="6">
        <f>Sheet2!H66/100</f>
        <v>0.39</v>
      </c>
      <c r="I66" s="2">
        <v>1</v>
      </c>
      <c r="J66" s="2">
        <v>1.4</v>
      </c>
      <c r="K66" s="6">
        <f>Sheet2!K66/100</f>
        <v>0.48</v>
      </c>
      <c r="L66" s="6">
        <f>Sheet2!L66/100</f>
        <v>0.52</v>
      </c>
      <c r="M66" s="2">
        <v>3.2</v>
      </c>
      <c r="N66" s="3" t="str">
        <f t="shared" si="0"/>
        <v>1-1</v>
      </c>
      <c r="O66" s="2" t="s">
        <v>148</v>
      </c>
    </row>
    <row r="67" spans="1:15">
      <c r="A67" s="1">
        <v>46199</v>
      </c>
      <c r="B67" s="2" t="s">
        <v>69</v>
      </c>
      <c r="C67" s="2" t="s">
        <v>71</v>
      </c>
      <c r="D67" s="2" t="s">
        <v>74</v>
      </c>
      <c r="E67" s="2" t="s">
        <v>22</v>
      </c>
      <c r="F67" s="6">
        <f>Sheet2!F67/100</f>
        <v>0.26</v>
      </c>
      <c r="G67" s="6">
        <f>Sheet2!G67/100</f>
        <v>0.28000000000000003</v>
      </c>
      <c r="H67" s="6">
        <f>Sheet2!H67/100</f>
        <v>0.46</v>
      </c>
      <c r="I67" s="2">
        <v>0.9</v>
      </c>
      <c r="J67" s="2">
        <v>1.5</v>
      </c>
      <c r="K67" s="6">
        <f>Sheet2!K67/100</f>
        <v>0.46</v>
      </c>
      <c r="L67" s="6">
        <f>Sheet2!L67/100</f>
        <v>0.54</v>
      </c>
      <c r="M67" s="2">
        <v>3.3</v>
      </c>
      <c r="N67" s="3" t="str">
        <f t="shared" ref="N67:N73" si="1">LEFT(O67,3)</f>
        <v>1-2</v>
      </c>
      <c r="O67" s="2" t="s">
        <v>149</v>
      </c>
    </row>
    <row r="68" spans="1:15">
      <c r="A68" s="1">
        <v>46200</v>
      </c>
      <c r="B68" s="2" t="s">
        <v>101</v>
      </c>
      <c r="C68" s="2" t="s">
        <v>103</v>
      </c>
      <c r="D68" s="2" t="s">
        <v>105</v>
      </c>
      <c r="E68" s="2" t="s">
        <v>45</v>
      </c>
      <c r="F68" s="6">
        <f>Sheet2!F68/100</f>
        <v>0.11</v>
      </c>
      <c r="G68" s="6">
        <f>Sheet2!G68/100</f>
        <v>0.19</v>
      </c>
      <c r="H68" s="6">
        <f>Sheet2!H68/100</f>
        <v>0.7</v>
      </c>
      <c r="I68" s="2">
        <v>0.3</v>
      </c>
      <c r="J68" s="2">
        <v>2.2999999999999998</v>
      </c>
      <c r="K68" s="6">
        <f>Sheet2!K68/100</f>
        <v>0.36</v>
      </c>
      <c r="L68" s="6">
        <f>Sheet2!L68/100</f>
        <v>0.64</v>
      </c>
      <c r="M68" s="2">
        <v>3.7</v>
      </c>
      <c r="N68" s="3" t="str">
        <f t="shared" si="1"/>
        <v>0-3</v>
      </c>
      <c r="O68" s="2" t="s">
        <v>150</v>
      </c>
    </row>
    <row r="69" spans="1:15">
      <c r="A69" s="1">
        <v>46200</v>
      </c>
      <c r="B69" s="2" t="s">
        <v>101</v>
      </c>
      <c r="C69" s="2" t="s">
        <v>106</v>
      </c>
      <c r="D69" s="2" t="s">
        <v>102</v>
      </c>
      <c r="E69" s="2" t="s">
        <v>54</v>
      </c>
      <c r="F69" s="6">
        <f>Sheet2!F69/100</f>
        <v>0.66</v>
      </c>
      <c r="G69" s="6">
        <f>Sheet2!G69/100</f>
        <v>0.2</v>
      </c>
      <c r="H69" s="6">
        <f>Sheet2!H69/100</f>
        <v>0.14000000000000001</v>
      </c>
      <c r="I69" s="2">
        <v>2.1</v>
      </c>
      <c r="J69" s="2">
        <v>0.6</v>
      </c>
      <c r="K69" s="6">
        <f>Sheet2!K69/100</f>
        <v>0.6</v>
      </c>
      <c r="L69" s="6">
        <f>Sheet2!L69/100</f>
        <v>0.4</v>
      </c>
      <c r="M69" s="2">
        <v>2.6</v>
      </c>
      <c r="N69" s="3" t="str">
        <f t="shared" si="1"/>
        <v>1-0</v>
      </c>
      <c r="O69" s="2" t="s">
        <v>104</v>
      </c>
    </row>
    <row r="70" spans="1:15">
      <c r="A70" s="1">
        <v>46200</v>
      </c>
      <c r="B70" s="2" t="s">
        <v>93</v>
      </c>
      <c r="C70" s="2" t="s">
        <v>95</v>
      </c>
      <c r="D70" s="2" t="s">
        <v>98</v>
      </c>
      <c r="E70" s="2" t="s">
        <v>96</v>
      </c>
      <c r="F70" s="6">
        <f>Sheet2!F70/100</f>
        <v>0.38</v>
      </c>
      <c r="G70" s="6">
        <f>Sheet2!G70/100</f>
        <v>0.31</v>
      </c>
      <c r="H70" s="6">
        <f>Sheet2!H70/100</f>
        <v>0.31</v>
      </c>
      <c r="I70" s="2">
        <v>1.3</v>
      </c>
      <c r="J70" s="2">
        <v>1.1000000000000001</v>
      </c>
      <c r="K70" s="6">
        <f>Sheet2!K70/100</f>
        <v>0.5</v>
      </c>
      <c r="L70" s="6">
        <f>Sheet2!L70/100</f>
        <v>0.5</v>
      </c>
      <c r="M70" s="2">
        <v>3.1</v>
      </c>
      <c r="N70" s="3" t="str">
        <f t="shared" si="1"/>
        <v>1-1</v>
      </c>
      <c r="O70" s="2" t="s">
        <v>131</v>
      </c>
    </row>
    <row r="71" spans="1:15">
      <c r="A71" s="1">
        <v>46200</v>
      </c>
      <c r="B71" s="2" t="s">
        <v>93</v>
      </c>
      <c r="C71" s="2" t="s">
        <v>99</v>
      </c>
      <c r="D71" s="2" t="s">
        <v>94</v>
      </c>
      <c r="E71" s="2" t="s">
        <v>63</v>
      </c>
      <c r="F71" s="6">
        <f>Sheet2!F71/100</f>
        <v>0.16</v>
      </c>
      <c r="G71" s="6">
        <f>Sheet2!G71/100</f>
        <v>0.2</v>
      </c>
      <c r="H71" s="6">
        <f>Sheet2!H71/100</f>
        <v>0.64</v>
      </c>
      <c r="I71" s="2">
        <v>0.5</v>
      </c>
      <c r="J71" s="2">
        <v>2.1</v>
      </c>
      <c r="K71" s="6">
        <f>Sheet2!K71/100</f>
        <v>0.41</v>
      </c>
      <c r="L71" s="6">
        <f>Sheet2!L71/100</f>
        <v>0.59</v>
      </c>
      <c r="M71" s="2">
        <v>3.6</v>
      </c>
      <c r="N71" s="3" t="str">
        <f t="shared" si="1"/>
        <v>1-2</v>
      </c>
      <c r="O71" s="2" t="s">
        <v>73</v>
      </c>
    </row>
    <row r="72" spans="1:15">
      <c r="A72" s="1">
        <v>46200</v>
      </c>
      <c r="B72" s="2" t="s">
        <v>108</v>
      </c>
      <c r="C72" s="2" t="s">
        <v>113</v>
      </c>
      <c r="D72" s="2" t="s">
        <v>109</v>
      </c>
      <c r="E72" s="2" t="s">
        <v>72</v>
      </c>
      <c r="F72" s="6">
        <f>Sheet2!F72/100</f>
        <v>0.2</v>
      </c>
      <c r="G72" s="6">
        <f>Sheet2!G72/100</f>
        <v>0.22</v>
      </c>
      <c r="H72" s="6">
        <f>Sheet2!H72/100</f>
        <v>0.57999999999999996</v>
      </c>
      <c r="I72" s="2">
        <v>0.7</v>
      </c>
      <c r="J72" s="2">
        <v>1.9</v>
      </c>
      <c r="K72" s="6">
        <f>Sheet2!K72/100</f>
        <v>0.43</v>
      </c>
      <c r="L72" s="6">
        <f>Sheet2!L72/100</f>
        <v>0.56999999999999995</v>
      </c>
      <c r="M72" s="2">
        <v>3.4</v>
      </c>
      <c r="N72" s="3" t="str">
        <f t="shared" si="1"/>
        <v>1-2</v>
      </c>
      <c r="O72" s="2" t="s">
        <v>151</v>
      </c>
    </row>
    <row r="73" spans="1:15">
      <c r="A73" s="1">
        <v>46200</v>
      </c>
      <c r="B73" s="2" t="s">
        <v>108</v>
      </c>
      <c r="C73" s="2" t="s">
        <v>110</v>
      </c>
      <c r="D73" s="2" t="s">
        <v>112</v>
      </c>
      <c r="E73" s="2" t="s">
        <v>76</v>
      </c>
      <c r="F73" s="6">
        <f>Sheet2!F73/100</f>
        <v>0.38</v>
      </c>
      <c r="G73" s="6">
        <f>Sheet2!G73/100</f>
        <v>0.32</v>
      </c>
      <c r="H73" s="6">
        <f>Sheet2!H73/100</f>
        <v>0.3</v>
      </c>
      <c r="I73" s="2">
        <v>1.3</v>
      </c>
      <c r="J73" s="2">
        <v>1.1000000000000001</v>
      </c>
      <c r="K73" s="6">
        <f>Sheet2!K73/100</f>
        <v>0.5</v>
      </c>
      <c r="L73" s="6">
        <f>Sheet2!L73/100</f>
        <v>0.5</v>
      </c>
      <c r="M73" s="2">
        <v>3.1</v>
      </c>
      <c r="N73" s="3" t="str">
        <f t="shared" si="1"/>
        <v>1-1</v>
      </c>
      <c r="O73" s="2" t="s">
        <v>152</v>
      </c>
    </row>
  </sheetData>
  <autoFilter ref="B1:B73" xr:uid="{2AD0EBE5-E560-4C1B-A28E-9E3E13476F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DF88-B50F-4240-9288-8B55C2C50F6D}">
  <dimension ref="A1:O73"/>
  <sheetViews>
    <sheetView workbookViewId="0">
      <selection sqref="A1:O73"/>
    </sheetView>
  </sheetViews>
  <sheetFormatPr defaultRowHeight="15"/>
  <cols>
    <col min="1" max="1" width="6.7109375" bestFit="1" customWidth="1"/>
    <col min="2" max="2" width="8.140625" bestFit="1" customWidth="1"/>
    <col min="3" max="4" width="22.5703125" bestFit="1" customWidth="1"/>
    <col min="5" max="5" width="29.85546875" bestFit="1" customWidth="1"/>
    <col min="6" max="6" width="10.42578125" bestFit="1" customWidth="1"/>
    <col min="7" max="7" width="13.140625" bestFit="1" customWidth="1"/>
    <col min="8" max="8" width="14.140625" bestFit="1" customWidth="1"/>
    <col min="9" max="9" width="8.140625" bestFit="1" customWidth="1"/>
    <col min="10" max="10" width="11.7109375" bestFit="1" customWidth="1"/>
    <col min="11" max="11" width="14.140625" bestFit="1" customWidth="1"/>
    <col min="12" max="12" width="17.85546875" bestFit="1" customWidth="1"/>
    <col min="13" max="13" width="18.140625" bestFit="1" customWidth="1"/>
    <col min="14" max="14" width="18" bestFit="1" customWidth="1"/>
    <col min="15" max="15" width="29.85546875" bestFit="1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46184</v>
      </c>
      <c r="B2" s="2" t="s">
        <v>15</v>
      </c>
      <c r="C2" s="2" t="s">
        <v>16</v>
      </c>
      <c r="D2" s="2" t="s">
        <v>17</v>
      </c>
      <c r="E2" s="2" t="s">
        <v>18</v>
      </c>
      <c r="F2" s="5">
        <v>62</v>
      </c>
      <c r="G2" s="2">
        <v>20</v>
      </c>
      <c r="H2" s="2">
        <v>18</v>
      </c>
      <c r="I2" s="2">
        <v>2.1</v>
      </c>
      <c r="J2" s="2">
        <v>0.7</v>
      </c>
      <c r="K2" s="2">
        <v>58</v>
      </c>
      <c r="L2" s="2">
        <v>42</v>
      </c>
      <c r="M2" s="2">
        <v>2.6</v>
      </c>
      <c r="N2" s="3" t="str">
        <f>LEFT(O2,3)</f>
        <v>2-0</v>
      </c>
      <c r="O2" s="2" t="s">
        <v>19</v>
      </c>
    </row>
    <row r="3" spans="1:15">
      <c r="A3" s="1">
        <v>46184</v>
      </c>
      <c r="B3" s="2" t="s">
        <v>15</v>
      </c>
      <c r="C3" s="2" t="s">
        <v>20</v>
      </c>
      <c r="D3" s="2" t="s">
        <v>21</v>
      </c>
      <c r="E3" s="2" t="s">
        <v>22</v>
      </c>
      <c r="F3" s="2">
        <v>36</v>
      </c>
      <c r="G3" s="2">
        <v>30</v>
      </c>
      <c r="H3" s="2">
        <v>34</v>
      </c>
      <c r="I3" s="2">
        <v>1.3</v>
      </c>
      <c r="J3" s="2">
        <v>1.2</v>
      </c>
      <c r="K3" s="2">
        <v>51</v>
      </c>
      <c r="L3" s="2">
        <v>49</v>
      </c>
      <c r="M3" s="2">
        <v>2.7</v>
      </c>
      <c r="N3" s="3" t="str">
        <f t="shared" ref="N3:N66" si="0">LEFT(O3,3)</f>
        <v>1-1</v>
      </c>
      <c r="O3" s="2" t="s">
        <v>23</v>
      </c>
    </row>
    <row r="4" spans="1:15">
      <c r="A4" s="1">
        <v>46185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41</v>
      </c>
      <c r="G4" s="2">
        <v>30</v>
      </c>
      <c r="H4" s="2">
        <v>29</v>
      </c>
      <c r="I4" s="2">
        <v>1.5</v>
      </c>
      <c r="J4" s="2">
        <v>1.1000000000000001</v>
      </c>
      <c r="K4" s="2">
        <v>53</v>
      </c>
      <c r="L4" s="2">
        <v>47</v>
      </c>
      <c r="M4" s="2">
        <v>2.9</v>
      </c>
      <c r="N4" s="3" t="str">
        <f t="shared" si="0"/>
        <v>1-1</v>
      </c>
      <c r="O4" s="2" t="s">
        <v>28</v>
      </c>
    </row>
    <row r="5" spans="1:15">
      <c r="A5" s="1">
        <v>46185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55</v>
      </c>
      <c r="G5" s="2">
        <v>25</v>
      </c>
      <c r="H5" s="2">
        <v>20</v>
      </c>
      <c r="I5" s="2">
        <v>1.9</v>
      </c>
      <c r="J5" s="2">
        <v>0.9</v>
      </c>
      <c r="K5" s="2">
        <v>57</v>
      </c>
      <c r="L5" s="2">
        <v>43</v>
      </c>
      <c r="M5" s="2">
        <v>2.8</v>
      </c>
      <c r="N5" s="3" t="str">
        <f t="shared" si="0"/>
        <v>2-1</v>
      </c>
      <c r="O5" s="2" t="s">
        <v>33</v>
      </c>
    </row>
    <row r="6" spans="1:15">
      <c r="A6" s="1">
        <v>46186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18</v>
      </c>
      <c r="G6" s="2">
        <v>22</v>
      </c>
      <c r="H6" s="2">
        <v>60</v>
      </c>
      <c r="I6" s="2">
        <v>0.6</v>
      </c>
      <c r="J6" s="2">
        <v>1.9</v>
      </c>
      <c r="K6" s="2">
        <v>42</v>
      </c>
      <c r="L6" s="2">
        <v>58</v>
      </c>
      <c r="M6" s="2">
        <v>3.5</v>
      </c>
      <c r="N6" s="3" t="str">
        <f t="shared" si="0"/>
        <v>0-2</v>
      </c>
      <c r="O6" s="2" t="s">
        <v>38</v>
      </c>
    </row>
    <row r="7" spans="1:15">
      <c r="A7" s="1">
        <v>46186</v>
      </c>
      <c r="B7" s="2" t="s">
        <v>29</v>
      </c>
      <c r="C7" s="2" t="s">
        <v>39</v>
      </c>
      <c r="D7" s="2" t="s">
        <v>40</v>
      </c>
      <c r="E7" s="2" t="s">
        <v>41</v>
      </c>
      <c r="F7" s="2">
        <v>38</v>
      </c>
      <c r="G7" s="2">
        <v>29</v>
      </c>
      <c r="H7" s="2">
        <v>33</v>
      </c>
      <c r="I7" s="2">
        <v>1.4</v>
      </c>
      <c r="J7" s="2">
        <v>1.2</v>
      </c>
      <c r="K7" s="2">
        <v>49</v>
      </c>
      <c r="L7" s="2">
        <v>51</v>
      </c>
      <c r="M7" s="2">
        <v>3.2</v>
      </c>
      <c r="N7" s="3" t="str">
        <f t="shared" si="0"/>
        <v>2-1</v>
      </c>
      <c r="O7" s="2" t="s">
        <v>42</v>
      </c>
    </row>
    <row r="8" spans="1:15">
      <c r="A8" s="1">
        <v>46186</v>
      </c>
      <c r="B8" s="2" t="s">
        <v>34</v>
      </c>
      <c r="C8" s="2" t="s">
        <v>43</v>
      </c>
      <c r="D8" s="2" t="s">
        <v>44</v>
      </c>
      <c r="E8" s="2" t="s">
        <v>45</v>
      </c>
      <c r="F8" s="2">
        <v>58</v>
      </c>
      <c r="G8" s="2">
        <v>23</v>
      </c>
      <c r="H8" s="2">
        <v>19</v>
      </c>
      <c r="I8" s="2">
        <v>2</v>
      </c>
      <c r="J8" s="2">
        <v>0.8</v>
      </c>
      <c r="K8" s="2">
        <v>57</v>
      </c>
      <c r="L8" s="2">
        <v>43</v>
      </c>
      <c r="M8" s="2">
        <v>3</v>
      </c>
      <c r="N8" s="3" t="str">
        <f t="shared" si="0"/>
        <v>2-1</v>
      </c>
      <c r="O8" s="2" t="s">
        <v>46</v>
      </c>
    </row>
    <row r="9" spans="1:15">
      <c r="A9" s="1">
        <v>46186</v>
      </c>
      <c r="B9" s="2" t="s">
        <v>24</v>
      </c>
      <c r="C9" s="2" t="s">
        <v>47</v>
      </c>
      <c r="D9" s="2" t="s">
        <v>48</v>
      </c>
      <c r="E9" s="2" t="s">
        <v>49</v>
      </c>
      <c r="F9" s="2">
        <v>20</v>
      </c>
      <c r="G9" s="2">
        <v>24</v>
      </c>
      <c r="H9" s="2">
        <v>56</v>
      </c>
      <c r="I9" s="2">
        <v>0.7</v>
      </c>
      <c r="J9" s="2">
        <v>1.8</v>
      </c>
      <c r="K9" s="2">
        <v>44</v>
      </c>
      <c r="L9" s="2">
        <v>56</v>
      </c>
      <c r="M9" s="2">
        <v>3.3</v>
      </c>
      <c r="N9" s="3" t="str">
        <f t="shared" si="0"/>
        <v>0-2</v>
      </c>
      <c r="O9" s="2" t="s">
        <v>50</v>
      </c>
    </row>
    <row r="10" spans="1:15">
      <c r="A10" s="1">
        <v>46187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34</v>
      </c>
      <c r="G10" s="2">
        <v>32</v>
      </c>
      <c r="H10" s="2">
        <v>34</v>
      </c>
      <c r="I10" s="2">
        <v>1.2</v>
      </c>
      <c r="J10" s="2">
        <v>1.2</v>
      </c>
      <c r="K10" s="2">
        <v>50</v>
      </c>
      <c r="L10" s="2">
        <v>50</v>
      </c>
      <c r="M10" s="2">
        <v>3.1</v>
      </c>
      <c r="N10" s="3" t="str">
        <f t="shared" si="0"/>
        <v>1-1</v>
      </c>
      <c r="O10" s="2" t="s">
        <v>55</v>
      </c>
    </row>
    <row r="11" spans="1:15">
      <c r="A11" s="1">
        <v>46187</v>
      </c>
      <c r="B11" s="2" t="s">
        <v>51</v>
      </c>
      <c r="C11" s="2" t="s">
        <v>56</v>
      </c>
      <c r="D11" s="2" t="s">
        <v>57</v>
      </c>
      <c r="E11" s="2" t="s">
        <v>58</v>
      </c>
      <c r="F11" s="2">
        <v>78</v>
      </c>
      <c r="G11" s="2">
        <v>14</v>
      </c>
      <c r="H11" s="2">
        <v>8</v>
      </c>
      <c r="I11" s="2">
        <v>2.9</v>
      </c>
      <c r="J11" s="2">
        <v>0.4</v>
      </c>
      <c r="K11" s="2">
        <v>66</v>
      </c>
      <c r="L11" s="2">
        <v>34</v>
      </c>
      <c r="M11" s="2">
        <v>2.4</v>
      </c>
      <c r="N11" s="3" t="str">
        <f t="shared" si="0"/>
        <v>5-0</v>
      </c>
      <c r="O11" s="2" t="s">
        <v>59</v>
      </c>
    </row>
    <row r="12" spans="1:15">
      <c r="A12" s="1">
        <v>46187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52</v>
      </c>
      <c r="G12" s="2">
        <v>28</v>
      </c>
      <c r="H12" s="2">
        <v>20</v>
      </c>
      <c r="I12" s="2">
        <v>1.8</v>
      </c>
      <c r="J12" s="2">
        <v>0.9</v>
      </c>
      <c r="K12" s="2">
        <v>55</v>
      </c>
      <c r="L12" s="2">
        <v>45</v>
      </c>
      <c r="M12" s="2">
        <v>2.9</v>
      </c>
      <c r="N12" s="3" t="str">
        <f t="shared" si="0"/>
        <v>2-1</v>
      </c>
      <c r="O12" s="2" t="s">
        <v>64</v>
      </c>
    </row>
    <row r="13" spans="1:15">
      <c r="A13" s="1">
        <v>46187</v>
      </c>
      <c r="B13" s="2" t="s">
        <v>60</v>
      </c>
      <c r="C13" s="2" t="s">
        <v>65</v>
      </c>
      <c r="D13" s="2" t="s">
        <v>66</v>
      </c>
      <c r="E13" s="2" t="s">
        <v>67</v>
      </c>
      <c r="F13" s="2">
        <v>67</v>
      </c>
      <c r="G13" s="2">
        <v>21</v>
      </c>
      <c r="H13" s="2">
        <v>12</v>
      </c>
      <c r="I13" s="2">
        <v>2.2000000000000002</v>
      </c>
      <c r="J13" s="2">
        <v>0.6</v>
      </c>
      <c r="K13" s="2">
        <v>61</v>
      </c>
      <c r="L13" s="2">
        <v>39</v>
      </c>
      <c r="M13" s="2">
        <v>2.7</v>
      </c>
      <c r="N13" s="3" t="str">
        <f t="shared" si="0"/>
        <v>2-0</v>
      </c>
      <c r="O13" s="2" t="s">
        <v>68</v>
      </c>
    </row>
    <row r="14" spans="1:15">
      <c r="A14" s="1">
        <v>46188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22</v>
      </c>
      <c r="G14" s="2">
        <v>26</v>
      </c>
      <c r="H14" s="2">
        <v>52</v>
      </c>
      <c r="I14" s="2">
        <v>0.8</v>
      </c>
      <c r="J14" s="2">
        <v>1.7</v>
      </c>
      <c r="K14" s="2">
        <v>43</v>
      </c>
      <c r="L14" s="2">
        <v>57</v>
      </c>
      <c r="M14" s="2">
        <v>3.4</v>
      </c>
      <c r="N14" s="3" t="str">
        <f t="shared" si="0"/>
        <v>1-2</v>
      </c>
      <c r="O14" s="2" t="s">
        <v>73</v>
      </c>
    </row>
    <row r="15" spans="1:15">
      <c r="A15" s="1">
        <v>46188</v>
      </c>
      <c r="B15" s="2" t="s">
        <v>69</v>
      </c>
      <c r="C15" s="2" t="s">
        <v>74</v>
      </c>
      <c r="D15" s="2" t="s">
        <v>75</v>
      </c>
      <c r="E15" s="2" t="s">
        <v>76</v>
      </c>
      <c r="F15" s="2">
        <v>81</v>
      </c>
      <c r="G15" s="2">
        <v>12</v>
      </c>
      <c r="H15" s="2">
        <v>7</v>
      </c>
      <c r="I15" s="2">
        <v>3</v>
      </c>
      <c r="J15" s="2">
        <v>0.3</v>
      </c>
      <c r="K15" s="2">
        <v>68</v>
      </c>
      <c r="L15" s="2">
        <v>32</v>
      </c>
      <c r="M15" s="2">
        <v>2.2000000000000002</v>
      </c>
      <c r="N15" s="3" t="str">
        <f t="shared" si="0"/>
        <v>3-0</v>
      </c>
      <c r="O15" s="2" t="s">
        <v>77</v>
      </c>
    </row>
    <row r="16" spans="1:15">
      <c r="A16" s="1">
        <v>46188</v>
      </c>
      <c r="B16" s="2" t="s">
        <v>78</v>
      </c>
      <c r="C16" s="2" t="s">
        <v>79</v>
      </c>
      <c r="D16" s="2" t="s">
        <v>80</v>
      </c>
      <c r="E16" s="2" t="s">
        <v>32</v>
      </c>
      <c r="F16" s="2">
        <v>54</v>
      </c>
      <c r="G16" s="2">
        <v>28</v>
      </c>
      <c r="H16" s="2">
        <v>18</v>
      </c>
      <c r="I16" s="2">
        <v>1.7</v>
      </c>
      <c r="J16" s="2">
        <v>0.8</v>
      </c>
      <c r="K16" s="2">
        <v>54</v>
      </c>
      <c r="L16" s="2">
        <v>46</v>
      </c>
      <c r="M16" s="2">
        <v>3</v>
      </c>
      <c r="N16" s="3" t="str">
        <f t="shared" si="0"/>
        <v>1-0</v>
      </c>
      <c r="O16" s="2" t="s">
        <v>81</v>
      </c>
    </row>
    <row r="17" spans="1:15">
      <c r="A17" s="1">
        <v>46188</v>
      </c>
      <c r="B17" s="2" t="s">
        <v>78</v>
      </c>
      <c r="C17" s="2" t="s">
        <v>82</v>
      </c>
      <c r="D17" s="2" t="s">
        <v>83</v>
      </c>
      <c r="E17" s="2" t="s">
        <v>84</v>
      </c>
      <c r="F17" s="2">
        <v>63</v>
      </c>
      <c r="G17" s="2">
        <v>21</v>
      </c>
      <c r="H17" s="2">
        <v>16</v>
      </c>
      <c r="I17" s="2">
        <v>2.1</v>
      </c>
      <c r="J17" s="2">
        <v>0.7</v>
      </c>
      <c r="K17" s="2">
        <v>58</v>
      </c>
      <c r="L17" s="2">
        <v>42</v>
      </c>
      <c r="M17" s="2">
        <v>2.8</v>
      </c>
      <c r="N17" s="3" t="str">
        <f t="shared" si="0"/>
        <v>2-0</v>
      </c>
      <c r="O17" s="2" t="s">
        <v>85</v>
      </c>
    </row>
    <row r="18" spans="1:15">
      <c r="A18" s="1">
        <v>46189</v>
      </c>
      <c r="B18" s="2" t="s">
        <v>86</v>
      </c>
      <c r="C18" s="2" t="s">
        <v>87</v>
      </c>
      <c r="D18" s="2" t="s">
        <v>88</v>
      </c>
      <c r="E18" s="2" t="s">
        <v>45</v>
      </c>
      <c r="F18" s="2">
        <v>61</v>
      </c>
      <c r="G18" s="2">
        <v>22</v>
      </c>
      <c r="H18" s="2">
        <v>17</v>
      </c>
      <c r="I18" s="2">
        <v>2</v>
      </c>
      <c r="J18" s="2">
        <v>0.7</v>
      </c>
      <c r="K18" s="2">
        <v>59</v>
      </c>
      <c r="L18" s="2">
        <v>41</v>
      </c>
      <c r="M18" s="2">
        <v>2.7</v>
      </c>
      <c r="N18" s="3" t="str">
        <f t="shared" si="0"/>
        <v>2-0</v>
      </c>
      <c r="O18" s="2" t="s">
        <v>89</v>
      </c>
    </row>
    <row r="19" spans="1:15">
      <c r="A19" s="1">
        <v>46189</v>
      </c>
      <c r="B19" s="2" t="s">
        <v>86</v>
      </c>
      <c r="C19" s="2" t="s">
        <v>90</v>
      </c>
      <c r="D19" s="2" t="s">
        <v>91</v>
      </c>
      <c r="E19" s="2" t="s">
        <v>37</v>
      </c>
      <c r="F19" s="2">
        <v>16</v>
      </c>
      <c r="G19" s="2">
        <v>19</v>
      </c>
      <c r="H19" s="2">
        <v>65</v>
      </c>
      <c r="I19" s="2">
        <v>0.5</v>
      </c>
      <c r="J19" s="2">
        <v>2.1</v>
      </c>
      <c r="K19" s="2">
        <v>40</v>
      </c>
      <c r="L19" s="2">
        <v>60</v>
      </c>
      <c r="M19" s="2">
        <v>3.6</v>
      </c>
      <c r="N19" s="3" t="str">
        <f t="shared" si="0"/>
        <v>0-3</v>
      </c>
      <c r="O19" s="2" t="s">
        <v>92</v>
      </c>
    </row>
    <row r="20" spans="1:15">
      <c r="A20" s="1">
        <v>46189</v>
      </c>
      <c r="B20" s="2" t="s">
        <v>93</v>
      </c>
      <c r="C20" s="2" t="s">
        <v>94</v>
      </c>
      <c r="D20" s="2" t="s">
        <v>95</v>
      </c>
      <c r="E20" s="2" t="s">
        <v>96</v>
      </c>
      <c r="F20" s="2">
        <v>72</v>
      </c>
      <c r="G20" s="2">
        <v>18</v>
      </c>
      <c r="H20" s="2">
        <v>10</v>
      </c>
      <c r="I20" s="2">
        <v>2.4</v>
      </c>
      <c r="J20" s="2">
        <v>0.5</v>
      </c>
      <c r="K20" s="2">
        <v>64</v>
      </c>
      <c r="L20" s="2">
        <v>36</v>
      </c>
      <c r="M20" s="2">
        <v>2.5</v>
      </c>
      <c r="N20" s="3" t="str">
        <f t="shared" si="0"/>
        <v>2-0</v>
      </c>
      <c r="O20" s="2" t="s">
        <v>97</v>
      </c>
    </row>
    <row r="21" spans="1:15">
      <c r="A21" s="1">
        <v>46189</v>
      </c>
      <c r="B21" s="2" t="s">
        <v>93</v>
      </c>
      <c r="C21" s="2" t="s">
        <v>98</v>
      </c>
      <c r="D21" s="2" t="s">
        <v>99</v>
      </c>
      <c r="E21" s="2" t="s">
        <v>49</v>
      </c>
      <c r="F21" s="2">
        <v>40</v>
      </c>
      <c r="G21" s="2">
        <v>30</v>
      </c>
      <c r="H21" s="2">
        <v>30</v>
      </c>
      <c r="I21" s="2">
        <v>1.4</v>
      </c>
      <c r="J21" s="2">
        <v>1.1000000000000001</v>
      </c>
      <c r="K21" s="2">
        <v>51</v>
      </c>
      <c r="L21" s="2">
        <v>49</v>
      </c>
      <c r="M21" s="2">
        <v>3.1</v>
      </c>
      <c r="N21" s="3" t="str">
        <f t="shared" si="0"/>
        <v>1-1</v>
      </c>
      <c r="O21" s="2" t="s">
        <v>100</v>
      </c>
    </row>
    <row r="22" spans="1:15">
      <c r="A22" s="1">
        <v>46190</v>
      </c>
      <c r="B22" s="2" t="s">
        <v>101</v>
      </c>
      <c r="C22" s="2" t="s">
        <v>102</v>
      </c>
      <c r="D22" s="2" t="s">
        <v>103</v>
      </c>
      <c r="E22" s="2" t="s">
        <v>27</v>
      </c>
      <c r="F22" s="2">
        <v>43</v>
      </c>
      <c r="G22" s="2">
        <v>30</v>
      </c>
      <c r="H22" s="2">
        <v>27</v>
      </c>
      <c r="I22" s="2">
        <v>1.5</v>
      </c>
      <c r="J22" s="2">
        <v>1</v>
      </c>
      <c r="K22" s="2">
        <v>52</v>
      </c>
      <c r="L22" s="2">
        <v>48</v>
      </c>
      <c r="M22" s="2">
        <v>3</v>
      </c>
      <c r="N22" s="3" t="str">
        <f t="shared" si="0"/>
        <v>1-0</v>
      </c>
      <c r="O22" s="2" t="s">
        <v>104</v>
      </c>
    </row>
    <row r="23" spans="1:15">
      <c r="A23" s="1">
        <v>46190</v>
      </c>
      <c r="B23" s="2" t="s">
        <v>101</v>
      </c>
      <c r="C23" s="2" t="s">
        <v>105</v>
      </c>
      <c r="D23" s="2" t="s">
        <v>106</v>
      </c>
      <c r="E23" s="2" t="s">
        <v>63</v>
      </c>
      <c r="F23" s="2">
        <v>57</v>
      </c>
      <c r="G23" s="2">
        <v>25</v>
      </c>
      <c r="H23" s="2">
        <v>18</v>
      </c>
      <c r="I23" s="2">
        <v>1.9</v>
      </c>
      <c r="J23" s="2">
        <v>0.8</v>
      </c>
      <c r="K23" s="2">
        <v>56</v>
      </c>
      <c r="L23" s="2">
        <v>44</v>
      </c>
      <c r="M23" s="2">
        <v>3.1</v>
      </c>
      <c r="N23" s="3" t="str">
        <f t="shared" si="0"/>
        <v>2-1</v>
      </c>
      <c r="O23" s="2" t="s">
        <v>107</v>
      </c>
    </row>
    <row r="24" spans="1:15">
      <c r="A24" s="1">
        <v>46190</v>
      </c>
      <c r="B24" s="2" t="s">
        <v>108</v>
      </c>
      <c r="C24" s="2" t="s">
        <v>109</v>
      </c>
      <c r="D24" s="2" t="s">
        <v>110</v>
      </c>
      <c r="E24" s="2" t="s">
        <v>58</v>
      </c>
      <c r="F24" s="2">
        <v>76</v>
      </c>
      <c r="G24" s="2">
        <v>15</v>
      </c>
      <c r="H24" s="2">
        <v>9</v>
      </c>
      <c r="I24" s="2">
        <v>2.7</v>
      </c>
      <c r="J24" s="2">
        <v>0.4</v>
      </c>
      <c r="K24" s="2">
        <v>65</v>
      </c>
      <c r="L24" s="2">
        <v>35</v>
      </c>
      <c r="M24" s="2">
        <v>2.2999999999999998</v>
      </c>
      <c r="N24" s="3" t="str">
        <f t="shared" si="0"/>
        <v>3-0</v>
      </c>
      <c r="O24" s="2" t="s">
        <v>111</v>
      </c>
    </row>
    <row r="25" spans="1:15">
      <c r="A25" s="1">
        <v>46190</v>
      </c>
      <c r="B25" s="2" t="s">
        <v>108</v>
      </c>
      <c r="C25" s="2" t="s">
        <v>112</v>
      </c>
      <c r="D25" s="2" t="s">
        <v>113</v>
      </c>
      <c r="E25" s="2" t="s">
        <v>18</v>
      </c>
      <c r="F25" s="2">
        <v>19</v>
      </c>
      <c r="G25" s="2">
        <v>24</v>
      </c>
      <c r="H25" s="2">
        <v>57</v>
      </c>
      <c r="I25" s="2">
        <v>0.7</v>
      </c>
      <c r="J25" s="2">
        <v>1.8</v>
      </c>
      <c r="K25" s="2">
        <v>45</v>
      </c>
      <c r="L25" s="2">
        <v>55</v>
      </c>
      <c r="M25" s="2">
        <v>3.4</v>
      </c>
      <c r="N25" s="3" t="str">
        <f t="shared" si="0"/>
        <v>0-2</v>
      </c>
      <c r="O25" s="2" t="s">
        <v>114</v>
      </c>
    </row>
    <row r="26" spans="1:15">
      <c r="A26" s="1">
        <v>46191</v>
      </c>
      <c r="B26" s="2" t="s">
        <v>15</v>
      </c>
      <c r="C26" s="2" t="s">
        <v>21</v>
      </c>
      <c r="D26" s="2" t="s">
        <v>17</v>
      </c>
      <c r="E26" s="2" t="s">
        <v>76</v>
      </c>
      <c r="F26" s="2">
        <v>52</v>
      </c>
      <c r="G26" s="2">
        <v>28</v>
      </c>
      <c r="H26" s="2">
        <v>20</v>
      </c>
      <c r="I26" s="2">
        <v>1.7</v>
      </c>
      <c r="J26" s="2">
        <v>0.9</v>
      </c>
      <c r="K26" s="2">
        <v>54</v>
      </c>
      <c r="L26" s="2">
        <v>46</v>
      </c>
      <c r="M26" s="2">
        <v>2.9</v>
      </c>
      <c r="N26" s="3" t="str">
        <f t="shared" si="0"/>
        <v>1-0</v>
      </c>
      <c r="O26" s="2" t="s">
        <v>115</v>
      </c>
    </row>
    <row r="27" spans="1:15">
      <c r="A27" s="1">
        <v>46191</v>
      </c>
      <c r="B27" s="2" t="s">
        <v>24</v>
      </c>
      <c r="C27" s="2" t="s">
        <v>48</v>
      </c>
      <c r="D27" s="2" t="s">
        <v>26</v>
      </c>
      <c r="E27" s="2" t="s">
        <v>32</v>
      </c>
      <c r="F27" s="2">
        <v>55</v>
      </c>
      <c r="G27" s="2">
        <v>26</v>
      </c>
      <c r="H27" s="2">
        <v>19</v>
      </c>
      <c r="I27" s="2">
        <v>1.8</v>
      </c>
      <c r="J27" s="2">
        <v>0.8</v>
      </c>
      <c r="K27" s="2">
        <v>55</v>
      </c>
      <c r="L27" s="2">
        <v>45</v>
      </c>
      <c r="M27" s="2">
        <v>3</v>
      </c>
      <c r="N27" s="3" t="str">
        <f t="shared" si="0"/>
        <v>2-1</v>
      </c>
      <c r="O27" s="2" t="s">
        <v>116</v>
      </c>
    </row>
    <row r="28" spans="1:15">
      <c r="A28" s="1">
        <v>46191</v>
      </c>
      <c r="B28" s="2" t="s">
        <v>24</v>
      </c>
      <c r="C28" s="2" t="s">
        <v>25</v>
      </c>
      <c r="D28" s="2" t="s">
        <v>47</v>
      </c>
      <c r="E28" s="2" t="s">
        <v>41</v>
      </c>
      <c r="F28" s="2">
        <v>71</v>
      </c>
      <c r="G28" s="2">
        <v>18</v>
      </c>
      <c r="H28" s="2">
        <v>11</v>
      </c>
      <c r="I28" s="2">
        <v>2.2999999999999998</v>
      </c>
      <c r="J28" s="2">
        <v>0.5</v>
      </c>
      <c r="K28" s="2">
        <v>62</v>
      </c>
      <c r="L28" s="2">
        <v>38</v>
      </c>
      <c r="M28" s="2">
        <v>2.6</v>
      </c>
      <c r="N28" s="3" t="str">
        <f t="shared" si="0"/>
        <v>2-0</v>
      </c>
      <c r="O28" s="2" t="s">
        <v>117</v>
      </c>
    </row>
    <row r="29" spans="1:15">
      <c r="A29" s="1">
        <v>46191</v>
      </c>
      <c r="B29" s="2" t="s">
        <v>15</v>
      </c>
      <c r="C29" s="2" t="s">
        <v>16</v>
      </c>
      <c r="D29" s="2" t="s">
        <v>20</v>
      </c>
      <c r="E29" s="2" t="s">
        <v>22</v>
      </c>
      <c r="F29" s="2">
        <v>38</v>
      </c>
      <c r="G29" s="2">
        <v>31</v>
      </c>
      <c r="H29" s="2">
        <v>31</v>
      </c>
      <c r="I29" s="2">
        <v>1.3</v>
      </c>
      <c r="J29" s="2">
        <v>1.2</v>
      </c>
      <c r="K29" s="2">
        <v>50</v>
      </c>
      <c r="L29" s="2">
        <v>50</v>
      </c>
      <c r="M29" s="2">
        <v>3.2</v>
      </c>
      <c r="N29" s="3" t="str">
        <f t="shared" si="0"/>
        <v>1-1</v>
      </c>
      <c r="O29" s="2" t="s">
        <v>118</v>
      </c>
    </row>
    <row r="30" spans="1:15">
      <c r="A30" s="1">
        <v>46192</v>
      </c>
      <c r="B30" s="2" t="s">
        <v>34</v>
      </c>
      <c r="C30" s="2" t="s">
        <v>43</v>
      </c>
      <c r="D30" s="2" t="s">
        <v>35</v>
      </c>
      <c r="E30" s="2" t="s">
        <v>54</v>
      </c>
      <c r="F30" s="2">
        <v>84</v>
      </c>
      <c r="G30" s="2">
        <v>10</v>
      </c>
      <c r="H30" s="2">
        <v>6</v>
      </c>
      <c r="I30" s="2">
        <v>3.1</v>
      </c>
      <c r="J30" s="2">
        <v>0.3</v>
      </c>
      <c r="K30" s="2">
        <v>69</v>
      </c>
      <c r="L30" s="2">
        <v>31</v>
      </c>
      <c r="M30" s="2">
        <v>2.2000000000000002</v>
      </c>
      <c r="N30" s="3" t="str">
        <f t="shared" si="0"/>
        <v>4-0</v>
      </c>
      <c r="O30" s="2" t="s">
        <v>119</v>
      </c>
    </row>
    <row r="31" spans="1:15">
      <c r="A31" s="1">
        <v>46192</v>
      </c>
      <c r="B31" s="2" t="s">
        <v>34</v>
      </c>
      <c r="C31" s="2" t="s">
        <v>36</v>
      </c>
      <c r="D31" s="2" t="s">
        <v>44</v>
      </c>
      <c r="E31" s="2" t="s">
        <v>37</v>
      </c>
      <c r="F31" s="2">
        <v>34</v>
      </c>
      <c r="G31" s="2">
        <v>30</v>
      </c>
      <c r="H31" s="2">
        <v>36</v>
      </c>
      <c r="I31" s="2">
        <v>1.1000000000000001</v>
      </c>
      <c r="J31" s="2">
        <v>1.3</v>
      </c>
      <c r="K31" s="2">
        <v>49</v>
      </c>
      <c r="L31" s="2">
        <v>51</v>
      </c>
      <c r="M31" s="2">
        <v>3.3</v>
      </c>
      <c r="N31" s="3" t="str">
        <f t="shared" si="0"/>
        <v>0-1</v>
      </c>
      <c r="O31" s="2" t="s">
        <v>120</v>
      </c>
    </row>
    <row r="32" spans="1:15">
      <c r="A32" s="1">
        <v>46192</v>
      </c>
      <c r="B32" s="2" t="s">
        <v>29</v>
      </c>
      <c r="C32" s="2" t="s">
        <v>40</v>
      </c>
      <c r="D32" s="2" t="s">
        <v>31</v>
      </c>
      <c r="E32" s="2" t="s">
        <v>49</v>
      </c>
      <c r="F32" s="2">
        <v>40</v>
      </c>
      <c r="G32" s="2">
        <v>31</v>
      </c>
      <c r="H32" s="2">
        <v>29</v>
      </c>
      <c r="I32" s="2">
        <v>1.4</v>
      </c>
      <c r="J32" s="2">
        <v>1.1000000000000001</v>
      </c>
      <c r="K32" s="2">
        <v>51</v>
      </c>
      <c r="L32" s="2">
        <v>49</v>
      </c>
      <c r="M32" s="2">
        <v>3.1</v>
      </c>
      <c r="N32" s="3" t="str">
        <f t="shared" si="0"/>
        <v>1-1</v>
      </c>
      <c r="O32" s="2" t="s">
        <v>23</v>
      </c>
    </row>
    <row r="33" spans="1:15">
      <c r="A33" s="1">
        <v>46192</v>
      </c>
      <c r="B33" s="2" t="s">
        <v>29</v>
      </c>
      <c r="C33" s="2" t="s">
        <v>30</v>
      </c>
      <c r="D33" s="2" t="s">
        <v>39</v>
      </c>
      <c r="E33" s="2" t="s">
        <v>84</v>
      </c>
      <c r="F33" s="2">
        <v>66</v>
      </c>
      <c r="G33" s="2">
        <v>20</v>
      </c>
      <c r="H33" s="2">
        <v>14</v>
      </c>
      <c r="I33" s="2">
        <v>2.2000000000000002</v>
      </c>
      <c r="J33" s="2">
        <v>0.6</v>
      </c>
      <c r="K33" s="2">
        <v>60</v>
      </c>
      <c r="L33" s="2">
        <v>40</v>
      </c>
      <c r="M33" s="2">
        <v>2.6</v>
      </c>
      <c r="N33" s="3" t="str">
        <f t="shared" si="0"/>
        <v>2-0</v>
      </c>
      <c r="O33" s="2" t="s">
        <v>121</v>
      </c>
    </row>
    <row r="34" spans="1:15">
      <c r="A34" s="1">
        <v>46193</v>
      </c>
      <c r="B34" s="2" t="s">
        <v>51</v>
      </c>
      <c r="C34" s="2" t="s">
        <v>56</v>
      </c>
      <c r="D34" s="2" t="s">
        <v>52</v>
      </c>
      <c r="E34" s="2" t="s">
        <v>27</v>
      </c>
      <c r="F34" s="2">
        <v>69</v>
      </c>
      <c r="G34" s="2">
        <v>18</v>
      </c>
      <c r="H34" s="2">
        <v>13</v>
      </c>
      <c r="I34" s="2">
        <v>2.4</v>
      </c>
      <c r="J34" s="2">
        <v>0.6</v>
      </c>
      <c r="K34" s="2">
        <v>62</v>
      </c>
      <c r="L34" s="2">
        <v>38</v>
      </c>
      <c r="M34" s="2">
        <v>2.5</v>
      </c>
      <c r="N34" s="3" t="str">
        <f t="shared" si="0"/>
        <v>3-1</v>
      </c>
      <c r="O34" s="2" t="s">
        <v>122</v>
      </c>
    </row>
    <row r="35" spans="1:15">
      <c r="A35" s="1">
        <v>46193</v>
      </c>
      <c r="B35" s="2" t="s">
        <v>51</v>
      </c>
      <c r="C35" s="2" t="s">
        <v>53</v>
      </c>
      <c r="D35" s="2" t="s">
        <v>57</v>
      </c>
      <c r="E35" s="2" t="s">
        <v>96</v>
      </c>
      <c r="F35" s="2">
        <v>75</v>
      </c>
      <c r="G35" s="2">
        <v>16</v>
      </c>
      <c r="H35" s="2">
        <v>9</v>
      </c>
      <c r="I35" s="2">
        <v>2.5</v>
      </c>
      <c r="J35" s="2">
        <v>0.4</v>
      </c>
      <c r="K35" s="2">
        <v>64</v>
      </c>
      <c r="L35" s="2">
        <v>36</v>
      </c>
      <c r="M35" s="2">
        <v>2.4</v>
      </c>
      <c r="N35" s="3" t="str">
        <f t="shared" si="0"/>
        <v>3-0</v>
      </c>
      <c r="O35" s="2" t="s">
        <v>123</v>
      </c>
    </row>
    <row r="36" spans="1:15">
      <c r="A36" s="1">
        <v>46193</v>
      </c>
      <c r="B36" s="2" t="s">
        <v>60</v>
      </c>
      <c r="C36" s="2" t="s">
        <v>61</v>
      </c>
      <c r="D36" s="2" t="s">
        <v>65</v>
      </c>
      <c r="E36" s="2" t="s">
        <v>58</v>
      </c>
      <c r="F36" s="2">
        <v>57</v>
      </c>
      <c r="G36" s="2">
        <v>24</v>
      </c>
      <c r="H36" s="2">
        <v>19</v>
      </c>
      <c r="I36" s="2">
        <v>1.9</v>
      </c>
      <c r="J36" s="2">
        <v>0.8</v>
      </c>
      <c r="K36" s="2">
        <v>56</v>
      </c>
      <c r="L36" s="2">
        <v>44</v>
      </c>
      <c r="M36" s="2">
        <v>3</v>
      </c>
      <c r="N36" s="3" t="str">
        <f t="shared" si="0"/>
        <v>2-0</v>
      </c>
      <c r="O36" s="2" t="s">
        <v>124</v>
      </c>
    </row>
    <row r="37" spans="1:15">
      <c r="A37" s="1">
        <v>46193</v>
      </c>
      <c r="B37" s="2" t="s">
        <v>60</v>
      </c>
      <c r="C37" s="2" t="s">
        <v>66</v>
      </c>
      <c r="D37" s="2" t="s">
        <v>62</v>
      </c>
      <c r="E37" s="2" t="s">
        <v>67</v>
      </c>
      <c r="F37" s="2">
        <v>24</v>
      </c>
      <c r="G37" s="2">
        <v>26</v>
      </c>
      <c r="H37" s="2">
        <v>50</v>
      </c>
      <c r="I37" s="2">
        <v>0.8</v>
      </c>
      <c r="J37" s="2">
        <v>1.6</v>
      </c>
      <c r="K37" s="2">
        <v>45</v>
      </c>
      <c r="L37" s="2">
        <v>55</v>
      </c>
      <c r="M37" s="2">
        <v>3.3</v>
      </c>
      <c r="N37" s="3" t="str">
        <f t="shared" si="0"/>
        <v>0-2</v>
      </c>
      <c r="O37" s="2" t="s">
        <v>125</v>
      </c>
    </row>
    <row r="38" spans="1:15">
      <c r="A38" s="1">
        <v>46194</v>
      </c>
      <c r="B38" s="2" t="s">
        <v>69</v>
      </c>
      <c r="C38" s="2" t="s">
        <v>71</v>
      </c>
      <c r="D38" s="2" t="s">
        <v>75</v>
      </c>
      <c r="E38" s="2" t="s">
        <v>72</v>
      </c>
      <c r="F38" s="2">
        <v>74</v>
      </c>
      <c r="G38" s="2">
        <v>16</v>
      </c>
      <c r="H38" s="2">
        <v>10</v>
      </c>
      <c r="I38" s="2">
        <v>2.4</v>
      </c>
      <c r="J38" s="2">
        <v>0.5</v>
      </c>
      <c r="K38" s="2">
        <v>63</v>
      </c>
      <c r="L38" s="2">
        <v>37</v>
      </c>
      <c r="M38" s="2">
        <v>2.4</v>
      </c>
      <c r="N38" s="3" t="str">
        <f t="shared" si="0"/>
        <v>2-0</v>
      </c>
      <c r="O38" s="2" t="s">
        <v>126</v>
      </c>
    </row>
    <row r="39" spans="1:15">
      <c r="A39" s="1">
        <v>46194</v>
      </c>
      <c r="B39" s="2" t="s">
        <v>69</v>
      </c>
      <c r="C39" s="2" t="s">
        <v>74</v>
      </c>
      <c r="D39" s="2" t="s">
        <v>70</v>
      </c>
      <c r="E39" s="2" t="s">
        <v>76</v>
      </c>
      <c r="F39" s="2">
        <v>82</v>
      </c>
      <c r="G39" s="2">
        <v>10</v>
      </c>
      <c r="H39" s="2">
        <v>8</v>
      </c>
      <c r="I39" s="2">
        <v>3</v>
      </c>
      <c r="J39" s="2">
        <v>0.3</v>
      </c>
      <c r="K39" s="2">
        <v>68</v>
      </c>
      <c r="L39" s="2">
        <v>32</v>
      </c>
      <c r="M39" s="2">
        <v>2.2000000000000002</v>
      </c>
      <c r="N39" s="3" t="str">
        <f t="shared" si="0"/>
        <v>3-0</v>
      </c>
      <c r="O39" s="2" t="s">
        <v>77</v>
      </c>
    </row>
    <row r="40" spans="1:15">
      <c r="A40" s="1">
        <v>46194</v>
      </c>
      <c r="B40" s="2" t="s">
        <v>78</v>
      </c>
      <c r="C40" s="2" t="s">
        <v>82</v>
      </c>
      <c r="D40" s="2" t="s">
        <v>79</v>
      </c>
      <c r="E40" s="2" t="s">
        <v>32</v>
      </c>
      <c r="F40" s="2">
        <v>79</v>
      </c>
      <c r="G40" s="2">
        <v>12</v>
      </c>
      <c r="H40" s="2">
        <v>9</v>
      </c>
      <c r="I40" s="2">
        <v>2.8</v>
      </c>
      <c r="J40" s="2">
        <v>0.4</v>
      </c>
      <c r="K40" s="2">
        <v>66</v>
      </c>
      <c r="L40" s="2">
        <v>34</v>
      </c>
      <c r="M40" s="2">
        <v>2.2999999999999998</v>
      </c>
      <c r="N40" s="3" t="str">
        <f t="shared" si="0"/>
        <v>3-0</v>
      </c>
      <c r="O40" s="2" t="s">
        <v>111</v>
      </c>
    </row>
    <row r="41" spans="1:15">
      <c r="A41" s="1">
        <v>46194</v>
      </c>
      <c r="B41" s="2" t="s">
        <v>78</v>
      </c>
      <c r="C41" s="2" t="s">
        <v>80</v>
      </c>
      <c r="D41" s="2" t="s">
        <v>83</v>
      </c>
      <c r="E41" s="2" t="s">
        <v>41</v>
      </c>
      <c r="F41" s="2">
        <v>17</v>
      </c>
      <c r="G41" s="2">
        <v>21</v>
      </c>
      <c r="H41" s="2">
        <v>62</v>
      </c>
      <c r="I41" s="2">
        <v>0.5</v>
      </c>
      <c r="J41" s="2">
        <v>2</v>
      </c>
      <c r="K41" s="2">
        <v>41</v>
      </c>
      <c r="L41" s="2">
        <v>59</v>
      </c>
      <c r="M41" s="2">
        <v>3.6</v>
      </c>
      <c r="N41" s="3" t="str">
        <f t="shared" si="0"/>
        <v>0-2</v>
      </c>
      <c r="O41" s="2" t="s">
        <v>127</v>
      </c>
    </row>
    <row r="42" spans="1:15">
      <c r="A42" s="1">
        <v>46195</v>
      </c>
      <c r="B42" s="2" t="s">
        <v>86</v>
      </c>
      <c r="C42" s="2" t="s">
        <v>91</v>
      </c>
      <c r="D42" s="2" t="s">
        <v>88</v>
      </c>
      <c r="E42" s="2" t="s">
        <v>45</v>
      </c>
      <c r="F42" s="2">
        <v>44</v>
      </c>
      <c r="G42" s="2">
        <v>29</v>
      </c>
      <c r="H42" s="2">
        <v>27</v>
      </c>
      <c r="I42" s="2">
        <v>1.5</v>
      </c>
      <c r="J42" s="2">
        <v>1</v>
      </c>
      <c r="K42" s="2">
        <v>52</v>
      </c>
      <c r="L42" s="2">
        <v>48</v>
      </c>
      <c r="M42" s="2">
        <v>3.1</v>
      </c>
      <c r="N42" s="3" t="str">
        <f t="shared" si="0"/>
        <v>1-2</v>
      </c>
      <c r="O42" s="2" t="s">
        <v>128</v>
      </c>
    </row>
    <row r="43" spans="1:15">
      <c r="A43" s="1">
        <v>46195</v>
      </c>
      <c r="B43" s="2" t="s">
        <v>86</v>
      </c>
      <c r="C43" s="2" t="s">
        <v>87</v>
      </c>
      <c r="D43" s="2" t="s">
        <v>90</v>
      </c>
      <c r="E43" s="2" t="s">
        <v>54</v>
      </c>
      <c r="F43" s="2">
        <v>83</v>
      </c>
      <c r="G43" s="2">
        <v>10</v>
      </c>
      <c r="H43" s="2">
        <v>7</v>
      </c>
      <c r="I43" s="2">
        <v>3</v>
      </c>
      <c r="J43" s="2">
        <v>0.3</v>
      </c>
      <c r="K43" s="2">
        <v>69</v>
      </c>
      <c r="L43" s="2">
        <v>31</v>
      </c>
      <c r="M43" s="2">
        <v>2.2000000000000002</v>
      </c>
      <c r="N43" s="3" t="str">
        <f t="shared" si="0"/>
        <v>4-0</v>
      </c>
      <c r="O43" s="2" t="s">
        <v>129</v>
      </c>
    </row>
    <row r="44" spans="1:15">
      <c r="A44" s="1">
        <v>46195</v>
      </c>
      <c r="B44" s="2" t="s">
        <v>93</v>
      </c>
      <c r="C44" s="2" t="s">
        <v>94</v>
      </c>
      <c r="D44" s="2" t="s">
        <v>98</v>
      </c>
      <c r="E44" s="2" t="s">
        <v>63</v>
      </c>
      <c r="F44" s="2">
        <v>77</v>
      </c>
      <c r="G44" s="2">
        <v>14</v>
      </c>
      <c r="H44" s="2">
        <v>9</v>
      </c>
      <c r="I44" s="2">
        <v>2.6</v>
      </c>
      <c r="J44" s="2">
        <v>0.5</v>
      </c>
      <c r="K44" s="2">
        <v>65</v>
      </c>
      <c r="L44" s="2">
        <v>35</v>
      </c>
      <c r="M44" s="2">
        <v>2.4</v>
      </c>
      <c r="N44" s="3" t="str">
        <f t="shared" si="0"/>
        <v>3-0</v>
      </c>
      <c r="O44" s="2" t="s">
        <v>130</v>
      </c>
    </row>
    <row r="45" spans="1:15">
      <c r="A45" s="1">
        <v>46195</v>
      </c>
      <c r="B45" s="2" t="s">
        <v>93</v>
      </c>
      <c r="C45" s="2" t="s">
        <v>99</v>
      </c>
      <c r="D45" s="2" t="s">
        <v>95</v>
      </c>
      <c r="E45" s="2" t="s">
        <v>49</v>
      </c>
      <c r="F45" s="2">
        <v>28</v>
      </c>
      <c r="G45" s="2">
        <v>29</v>
      </c>
      <c r="H45" s="2">
        <v>43</v>
      </c>
      <c r="I45" s="2">
        <v>0.9</v>
      </c>
      <c r="J45" s="2">
        <v>1.4</v>
      </c>
      <c r="K45" s="2">
        <v>46</v>
      </c>
      <c r="L45" s="2">
        <v>54</v>
      </c>
      <c r="M45" s="2">
        <v>3.2</v>
      </c>
      <c r="N45" s="3" t="str">
        <f t="shared" si="0"/>
        <v>1-1</v>
      </c>
      <c r="O45" s="2" t="s">
        <v>131</v>
      </c>
    </row>
    <row r="46" spans="1:15">
      <c r="A46" s="1">
        <v>46196</v>
      </c>
      <c r="B46" s="2" t="s">
        <v>101</v>
      </c>
      <c r="C46" s="2" t="s">
        <v>105</v>
      </c>
      <c r="D46" s="2" t="s">
        <v>102</v>
      </c>
      <c r="E46" s="2" t="s">
        <v>37</v>
      </c>
      <c r="F46" s="2">
        <v>78</v>
      </c>
      <c r="G46" s="2">
        <v>13</v>
      </c>
      <c r="H46" s="2">
        <v>9</v>
      </c>
      <c r="I46" s="2">
        <v>2.7</v>
      </c>
      <c r="J46" s="2">
        <v>0.4</v>
      </c>
      <c r="K46" s="2">
        <v>66</v>
      </c>
      <c r="L46" s="2">
        <v>34</v>
      </c>
      <c r="M46" s="2">
        <v>2.2999999999999998</v>
      </c>
      <c r="N46" s="3" t="str">
        <f t="shared" si="0"/>
        <v>2-0</v>
      </c>
      <c r="O46" s="2" t="s">
        <v>132</v>
      </c>
    </row>
    <row r="47" spans="1:15">
      <c r="A47" s="1">
        <v>46196</v>
      </c>
      <c r="B47" s="2" t="s">
        <v>101</v>
      </c>
      <c r="C47" s="2" t="s">
        <v>103</v>
      </c>
      <c r="D47" s="2" t="s">
        <v>106</v>
      </c>
      <c r="E47" s="2" t="s">
        <v>27</v>
      </c>
      <c r="F47" s="2">
        <v>20</v>
      </c>
      <c r="G47" s="2">
        <v>23</v>
      </c>
      <c r="H47" s="2">
        <v>57</v>
      </c>
      <c r="I47" s="2">
        <v>0.7</v>
      </c>
      <c r="J47" s="2">
        <v>1.8</v>
      </c>
      <c r="K47" s="2">
        <v>43</v>
      </c>
      <c r="L47" s="2">
        <v>57</v>
      </c>
      <c r="M47" s="2">
        <v>3.4</v>
      </c>
      <c r="N47" s="3" t="str">
        <f t="shared" si="0"/>
        <v>0-2</v>
      </c>
      <c r="O47" s="2" t="s">
        <v>133</v>
      </c>
    </row>
    <row r="48" spans="1:15">
      <c r="A48" s="1">
        <v>46196</v>
      </c>
      <c r="B48" s="2" t="s">
        <v>108</v>
      </c>
      <c r="C48" s="2" t="s">
        <v>109</v>
      </c>
      <c r="D48" s="2" t="s">
        <v>112</v>
      </c>
      <c r="E48" s="2" t="s">
        <v>58</v>
      </c>
      <c r="F48" s="2">
        <v>84</v>
      </c>
      <c r="G48" s="2">
        <v>10</v>
      </c>
      <c r="H48" s="2">
        <v>6</v>
      </c>
      <c r="I48" s="2">
        <v>3.1</v>
      </c>
      <c r="J48" s="2">
        <v>0.3</v>
      </c>
      <c r="K48" s="2">
        <v>69</v>
      </c>
      <c r="L48" s="2">
        <v>31</v>
      </c>
      <c r="M48" s="2">
        <v>2.2000000000000002</v>
      </c>
      <c r="N48" s="3" t="str">
        <f t="shared" si="0"/>
        <v>4-0</v>
      </c>
      <c r="O48" s="2" t="s">
        <v>134</v>
      </c>
    </row>
    <row r="49" spans="1:15">
      <c r="A49" s="1">
        <v>46196</v>
      </c>
      <c r="B49" s="2" t="s">
        <v>108</v>
      </c>
      <c r="C49" s="2" t="s">
        <v>113</v>
      </c>
      <c r="D49" s="2" t="s">
        <v>110</v>
      </c>
      <c r="E49" s="2" t="s">
        <v>22</v>
      </c>
      <c r="F49" s="2">
        <v>73</v>
      </c>
      <c r="G49" s="2">
        <v>15</v>
      </c>
      <c r="H49" s="2">
        <v>12</v>
      </c>
      <c r="I49" s="2">
        <v>2.4</v>
      </c>
      <c r="J49" s="2">
        <v>0.5</v>
      </c>
      <c r="K49" s="2">
        <v>63</v>
      </c>
      <c r="L49" s="2">
        <v>37</v>
      </c>
      <c r="M49" s="2">
        <v>2.5</v>
      </c>
      <c r="N49" s="3" t="str">
        <f t="shared" si="0"/>
        <v>2-0</v>
      </c>
      <c r="O49" s="2" t="s">
        <v>135</v>
      </c>
    </row>
    <row r="50" spans="1:15">
      <c r="A50" s="1">
        <v>46197</v>
      </c>
      <c r="B50" s="2" t="s">
        <v>34</v>
      </c>
      <c r="C50" s="2" t="s">
        <v>36</v>
      </c>
      <c r="D50" s="2" t="s">
        <v>43</v>
      </c>
      <c r="E50" s="2" t="s">
        <v>72</v>
      </c>
      <c r="F50" s="2">
        <v>14</v>
      </c>
      <c r="G50" s="2">
        <v>14</v>
      </c>
      <c r="H50" s="2">
        <v>72</v>
      </c>
      <c r="I50" s="2">
        <v>0.4</v>
      </c>
      <c r="J50" s="2">
        <v>2.4</v>
      </c>
      <c r="K50" s="2">
        <v>33</v>
      </c>
      <c r="L50" s="2">
        <v>67</v>
      </c>
      <c r="M50" s="2">
        <v>3.8</v>
      </c>
      <c r="N50" s="3" t="str">
        <f t="shared" si="0"/>
        <v>0-3</v>
      </c>
      <c r="O50" s="2" t="s">
        <v>136</v>
      </c>
    </row>
    <row r="51" spans="1:15">
      <c r="A51" s="1">
        <v>46197</v>
      </c>
      <c r="B51" s="2" t="s">
        <v>34</v>
      </c>
      <c r="C51" s="2" t="s">
        <v>44</v>
      </c>
      <c r="D51" s="2" t="s">
        <v>35</v>
      </c>
      <c r="E51" s="2" t="s">
        <v>76</v>
      </c>
      <c r="F51" s="2">
        <v>79</v>
      </c>
      <c r="G51" s="2">
        <v>12</v>
      </c>
      <c r="H51" s="2">
        <v>9</v>
      </c>
      <c r="I51" s="2">
        <v>2.7</v>
      </c>
      <c r="J51" s="2">
        <v>0.4</v>
      </c>
      <c r="K51" s="2">
        <v>66</v>
      </c>
      <c r="L51" s="2">
        <v>34</v>
      </c>
      <c r="M51" s="2">
        <v>2.2999999999999998</v>
      </c>
      <c r="N51" s="3" t="str">
        <f t="shared" si="0"/>
        <v>3-0</v>
      </c>
      <c r="O51" s="2" t="s">
        <v>137</v>
      </c>
    </row>
    <row r="52" spans="1:15">
      <c r="A52" s="1">
        <v>46197</v>
      </c>
      <c r="B52" s="2" t="s">
        <v>24</v>
      </c>
      <c r="C52" s="2" t="s">
        <v>48</v>
      </c>
      <c r="D52" s="2" t="s">
        <v>25</v>
      </c>
      <c r="E52" s="2" t="s">
        <v>41</v>
      </c>
      <c r="F52" s="2">
        <v>38</v>
      </c>
      <c r="G52" s="2">
        <v>31</v>
      </c>
      <c r="H52" s="2">
        <v>31</v>
      </c>
      <c r="I52" s="2">
        <v>1.3</v>
      </c>
      <c r="J52" s="2">
        <v>1.2</v>
      </c>
      <c r="K52" s="2">
        <v>51</v>
      </c>
      <c r="L52" s="2">
        <v>49</v>
      </c>
      <c r="M52" s="2">
        <v>3.2</v>
      </c>
      <c r="N52" s="3" t="str">
        <f t="shared" si="0"/>
        <v>1-1</v>
      </c>
      <c r="O52" s="2" t="s">
        <v>138</v>
      </c>
    </row>
    <row r="53" spans="1:15">
      <c r="A53" s="1">
        <v>46197</v>
      </c>
      <c r="B53" s="2" t="s">
        <v>24</v>
      </c>
      <c r="C53" s="2" t="s">
        <v>26</v>
      </c>
      <c r="D53" s="2" t="s">
        <v>47</v>
      </c>
      <c r="E53" s="2" t="s">
        <v>84</v>
      </c>
      <c r="F53" s="2">
        <v>63</v>
      </c>
      <c r="G53" s="2">
        <v>22</v>
      </c>
      <c r="H53" s="2">
        <v>15</v>
      </c>
      <c r="I53" s="2">
        <v>2.1</v>
      </c>
      <c r="J53" s="2">
        <v>0.7</v>
      </c>
      <c r="K53" s="2">
        <v>58</v>
      </c>
      <c r="L53" s="2">
        <v>42</v>
      </c>
      <c r="M53" s="2">
        <v>2.8</v>
      </c>
      <c r="N53" s="3" t="str">
        <f t="shared" si="0"/>
        <v>2-0</v>
      </c>
      <c r="O53" s="2" t="s">
        <v>68</v>
      </c>
    </row>
    <row r="54" spans="1:15">
      <c r="A54" s="1">
        <v>46197</v>
      </c>
      <c r="B54" s="2" t="s">
        <v>15</v>
      </c>
      <c r="C54" s="2" t="s">
        <v>21</v>
      </c>
      <c r="D54" s="2" t="s">
        <v>16</v>
      </c>
      <c r="E54" s="2" t="s">
        <v>18</v>
      </c>
      <c r="F54" s="2">
        <v>26</v>
      </c>
      <c r="G54" s="2">
        <v>24</v>
      </c>
      <c r="H54" s="2">
        <v>50</v>
      </c>
      <c r="I54" s="2">
        <v>0.9</v>
      </c>
      <c r="J54" s="2">
        <v>1.6</v>
      </c>
      <c r="K54" s="2">
        <v>45</v>
      </c>
      <c r="L54" s="2">
        <v>55</v>
      </c>
      <c r="M54" s="2">
        <v>3.3</v>
      </c>
      <c r="N54" s="3" t="str">
        <f t="shared" si="0"/>
        <v>0-2</v>
      </c>
      <c r="O54" s="2" t="s">
        <v>139</v>
      </c>
    </row>
    <row r="55" spans="1:15">
      <c r="A55" s="1">
        <v>46197</v>
      </c>
      <c r="B55" s="2" t="s">
        <v>15</v>
      </c>
      <c r="C55" s="2" t="s">
        <v>17</v>
      </c>
      <c r="D55" s="2" t="s">
        <v>20</v>
      </c>
      <c r="E55" s="2" t="s">
        <v>67</v>
      </c>
      <c r="F55" s="2">
        <v>22</v>
      </c>
      <c r="G55" s="2">
        <v>23</v>
      </c>
      <c r="H55" s="2">
        <v>55</v>
      </c>
      <c r="I55" s="2">
        <v>0.8</v>
      </c>
      <c r="J55" s="2">
        <v>1.7</v>
      </c>
      <c r="K55" s="2">
        <v>44</v>
      </c>
      <c r="L55" s="2">
        <v>56</v>
      </c>
      <c r="M55" s="2">
        <v>3.3</v>
      </c>
      <c r="N55" s="3" t="str">
        <f t="shared" si="0"/>
        <v>0-2</v>
      </c>
      <c r="O55" s="2" t="s">
        <v>140</v>
      </c>
    </row>
    <row r="56" spans="1:15">
      <c r="A56" s="1">
        <v>46198</v>
      </c>
      <c r="B56" s="2" t="s">
        <v>51</v>
      </c>
      <c r="C56" s="2" t="s">
        <v>57</v>
      </c>
      <c r="D56" s="2" t="s">
        <v>52</v>
      </c>
      <c r="E56" s="2" t="s">
        <v>54</v>
      </c>
      <c r="F56" s="2">
        <v>17</v>
      </c>
      <c r="G56" s="2">
        <v>21</v>
      </c>
      <c r="H56" s="2">
        <v>62</v>
      </c>
      <c r="I56" s="2">
        <v>0.5</v>
      </c>
      <c r="J56" s="2">
        <v>2</v>
      </c>
      <c r="K56" s="2">
        <v>41</v>
      </c>
      <c r="L56" s="2">
        <v>59</v>
      </c>
      <c r="M56" s="2">
        <v>3.6</v>
      </c>
      <c r="N56" s="3" t="str">
        <f t="shared" si="0"/>
        <v>0-2</v>
      </c>
      <c r="O56" s="2" t="s">
        <v>141</v>
      </c>
    </row>
    <row r="57" spans="1:15">
      <c r="A57" s="1">
        <v>46198</v>
      </c>
      <c r="B57" s="2" t="s">
        <v>51</v>
      </c>
      <c r="C57" s="2" t="s">
        <v>53</v>
      </c>
      <c r="D57" s="2" t="s">
        <v>56</v>
      </c>
      <c r="E57" s="2" t="s">
        <v>45</v>
      </c>
      <c r="F57" s="2">
        <v>23</v>
      </c>
      <c r="G57" s="2">
        <v>25</v>
      </c>
      <c r="H57" s="2">
        <v>52</v>
      </c>
      <c r="I57" s="2">
        <v>0.8</v>
      </c>
      <c r="J57" s="2">
        <v>1.7</v>
      </c>
      <c r="K57" s="2">
        <v>45</v>
      </c>
      <c r="L57" s="2">
        <v>55</v>
      </c>
      <c r="M57" s="2">
        <v>3.3</v>
      </c>
      <c r="N57" s="3" t="str">
        <f t="shared" si="0"/>
        <v>0-2</v>
      </c>
      <c r="O57" s="2" t="s">
        <v>142</v>
      </c>
    </row>
    <row r="58" spans="1:15">
      <c r="A58" s="1">
        <v>46198</v>
      </c>
      <c r="B58" s="2" t="s">
        <v>60</v>
      </c>
      <c r="C58" s="2" t="s">
        <v>62</v>
      </c>
      <c r="D58" s="2" t="s">
        <v>65</v>
      </c>
      <c r="E58" s="2" t="s">
        <v>63</v>
      </c>
      <c r="F58" s="2">
        <v>34</v>
      </c>
      <c r="G58" s="2">
        <v>30</v>
      </c>
      <c r="H58" s="2">
        <v>36</v>
      </c>
      <c r="I58" s="2">
        <v>1.1000000000000001</v>
      </c>
      <c r="J58" s="2">
        <v>1.3</v>
      </c>
      <c r="K58" s="2">
        <v>49</v>
      </c>
      <c r="L58" s="2">
        <v>51</v>
      </c>
      <c r="M58" s="2">
        <v>3.2</v>
      </c>
      <c r="N58" s="3" t="str">
        <f t="shared" si="0"/>
        <v>1-1</v>
      </c>
      <c r="O58" s="2" t="s">
        <v>28</v>
      </c>
    </row>
    <row r="59" spans="1:15">
      <c r="A59" s="1">
        <v>46198</v>
      </c>
      <c r="B59" s="2" t="s">
        <v>60</v>
      </c>
      <c r="C59" s="2" t="s">
        <v>66</v>
      </c>
      <c r="D59" s="2" t="s">
        <v>61</v>
      </c>
      <c r="E59" s="2" t="s">
        <v>96</v>
      </c>
      <c r="F59" s="2">
        <v>15</v>
      </c>
      <c r="G59" s="2">
        <v>23</v>
      </c>
      <c r="H59" s="2">
        <v>62</v>
      </c>
      <c r="I59" s="2">
        <v>0.5</v>
      </c>
      <c r="J59" s="2">
        <v>2</v>
      </c>
      <c r="K59" s="2">
        <v>42</v>
      </c>
      <c r="L59" s="2">
        <v>58</v>
      </c>
      <c r="M59" s="2">
        <v>3.5</v>
      </c>
      <c r="N59" s="3" t="str">
        <f t="shared" si="0"/>
        <v>0-3</v>
      </c>
      <c r="O59" s="2" t="s">
        <v>143</v>
      </c>
    </row>
    <row r="60" spans="1:15">
      <c r="A60" s="1">
        <v>46198</v>
      </c>
      <c r="B60" s="2" t="s">
        <v>29</v>
      </c>
      <c r="C60" s="2" t="s">
        <v>40</v>
      </c>
      <c r="D60" s="2" t="s">
        <v>30</v>
      </c>
      <c r="E60" s="2" t="s">
        <v>32</v>
      </c>
      <c r="F60" s="2">
        <v>36</v>
      </c>
      <c r="G60" s="2">
        <v>29</v>
      </c>
      <c r="H60" s="2">
        <v>35</v>
      </c>
      <c r="I60" s="2">
        <v>1.2</v>
      </c>
      <c r="J60" s="2">
        <v>1.2</v>
      </c>
      <c r="K60" s="2">
        <v>49</v>
      </c>
      <c r="L60" s="2">
        <v>51</v>
      </c>
      <c r="M60" s="2">
        <v>3.1</v>
      </c>
      <c r="N60" s="3" t="str">
        <f t="shared" si="0"/>
        <v>2-1</v>
      </c>
      <c r="O60" s="2" t="s">
        <v>42</v>
      </c>
    </row>
    <row r="61" spans="1:15">
      <c r="A61" s="1">
        <v>46198</v>
      </c>
      <c r="B61" s="2" t="s">
        <v>29</v>
      </c>
      <c r="C61" s="2" t="s">
        <v>31</v>
      </c>
      <c r="D61" s="2" t="s">
        <v>39</v>
      </c>
      <c r="E61" s="2" t="s">
        <v>49</v>
      </c>
      <c r="F61" s="2">
        <v>43</v>
      </c>
      <c r="G61" s="2">
        <v>31</v>
      </c>
      <c r="H61" s="2">
        <v>26</v>
      </c>
      <c r="I61" s="2">
        <v>1.5</v>
      </c>
      <c r="J61" s="2">
        <v>1</v>
      </c>
      <c r="K61" s="2">
        <v>52</v>
      </c>
      <c r="L61" s="2">
        <v>48</v>
      </c>
      <c r="M61" s="2">
        <v>3</v>
      </c>
      <c r="N61" s="3" t="str">
        <f t="shared" si="0"/>
        <v>1-0</v>
      </c>
      <c r="O61" s="2" t="s">
        <v>144</v>
      </c>
    </row>
    <row r="62" spans="1:15">
      <c r="A62" s="1">
        <v>46199</v>
      </c>
      <c r="B62" s="2" t="s">
        <v>86</v>
      </c>
      <c r="C62" s="2" t="s">
        <v>91</v>
      </c>
      <c r="D62" s="2" t="s">
        <v>87</v>
      </c>
      <c r="E62" s="2" t="s">
        <v>37</v>
      </c>
      <c r="F62" s="2">
        <v>21</v>
      </c>
      <c r="G62" s="2">
        <v>22</v>
      </c>
      <c r="H62" s="2">
        <v>57</v>
      </c>
      <c r="I62" s="2">
        <v>0.7</v>
      </c>
      <c r="J62" s="2">
        <v>1.8</v>
      </c>
      <c r="K62" s="2">
        <v>43</v>
      </c>
      <c r="L62" s="2">
        <v>57</v>
      </c>
      <c r="M62" s="2">
        <v>3.4</v>
      </c>
      <c r="N62" s="3" t="str">
        <f t="shared" si="0"/>
        <v>1-2</v>
      </c>
      <c r="O62" s="2" t="s">
        <v>128</v>
      </c>
    </row>
    <row r="63" spans="1:15">
      <c r="A63" s="1">
        <v>46199</v>
      </c>
      <c r="B63" s="2" t="s">
        <v>86</v>
      </c>
      <c r="C63" s="2" t="s">
        <v>88</v>
      </c>
      <c r="D63" s="2" t="s">
        <v>90</v>
      </c>
      <c r="E63" s="2" t="s">
        <v>27</v>
      </c>
      <c r="F63" s="2">
        <v>74</v>
      </c>
      <c r="G63" s="2">
        <v>16</v>
      </c>
      <c r="H63" s="2">
        <v>10</v>
      </c>
      <c r="I63" s="2">
        <v>2.4</v>
      </c>
      <c r="J63" s="2">
        <v>0.5</v>
      </c>
      <c r="K63" s="2">
        <v>63</v>
      </c>
      <c r="L63" s="2">
        <v>37</v>
      </c>
      <c r="M63" s="2">
        <v>2.4</v>
      </c>
      <c r="N63" s="3" t="str">
        <f t="shared" si="0"/>
        <v>2-0</v>
      </c>
      <c r="O63" s="2" t="s">
        <v>145</v>
      </c>
    </row>
    <row r="64" spans="1:15">
      <c r="A64" s="1">
        <v>46199</v>
      </c>
      <c r="B64" s="2" t="s">
        <v>78</v>
      </c>
      <c r="C64" s="2" t="s">
        <v>83</v>
      </c>
      <c r="D64" s="2" t="s">
        <v>79</v>
      </c>
      <c r="E64" s="2" t="s">
        <v>84</v>
      </c>
      <c r="F64" s="2">
        <v>38</v>
      </c>
      <c r="G64" s="2">
        <v>30</v>
      </c>
      <c r="H64" s="2">
        <v>32</v>
      </c>
      <c r="I64" s="2">
        <v>1.3</v>
      </c>
      <c r="J64" s="2">
        <v>1.1000000000000001</v>
      </c>
      <c r="K64" s="2">
        <v>51</v>
      </c>
      <c r="L64" s="2">
        <v>49</v>
      </c>
      <c r="M64" s="2">
        <v>3.1</v>
      </c>
      <c r="N64" s="3" t="str">
        <f t="shared" si="0"/>
        <v>1-1</v>
      </c>
      <c r="O64" s="2" t="s">
        <v>146</v>
      </c>
    </row>
    <row r="65" spans="1:15">
      <c r="A65" s="1">
        <v>46199</v>
      </c>
      <c r="B65" s="2" t="s">
        <v>78</v>
      </c>
      <c r="C65" s="2" t="s">
        <v>80</v>
      </c>
      <c r="D65" s="2" t="s">
        <v>82</v>
      </c>
      <c r="E65" s="2" t="s">
        <v>41</v>
      </c>
      <c r="F65" s="2">
        <v>12</v>
      </c>
      <c r="G65" s="2">
        <v>18</v>
      </c>
      <c r="H65" s="2">
        <v>70</v>
      </c>
      <c r="I65" s="2">
        <v>0.3</v>
      </c>
      <c r="J65" s="2">
        <v>2.2999999999999998</v>
      </c>
      <c r="K65" s="2">
        <v>35</v>
      </c>
      <c r="L65" s="2">
        <v>65</v>
      </c>
      <c r="M65" s="2">
        <v>3.7</v>
      </c>
      <c r="N65" s="3" t="str">
        <f t="shared" si="0"/>
        <v>0-4</v>
      </c>
      <c r="O65" s="2" t="s">
        <v>147</v>
      </c>
    </row>
    <row r="66" spans="1:15">
      <c r="A66" s="1">
        <v>46199</v>
      </c>
      <c r="B66" s="2" t="s">
        <v>69</v>
      </c>
      <c r="C66" s="2" t="s">
        <v>75</v>
      </c>
      <c r="D66" s="2" t="s">
        <v>70</v>
      </c>
      <c r="E66" s="2" t="s">
        <v>58</v>
      </c>
      <c r="F66" s="2">
        <v>31</v>
      </c>
      <c r="G66" s="2">
        <v>30</v>
      </c>
      <c r="H66" s="2">
        <v>39</v>
      </c>
      <c r="I66" s="2">
        <v>1</v>
      </c>
      <c r="J66" s="2">
        <v>1.4</v>
      </c>
      <c r="K66" s="2">
        <v>48</v>
      </c>
      <c r="L66" s="2">
        <v>52</v>
      </c>
      <c r="M66" s="2">
        <v>3.2</v>
      </c>
      <c r="N66" s="3" t="str">
        <f t="shared" si="0"/>
        <v>1-1</v>
      </c>
      <c r="O66" s="2" t="s">
        <v>148</v>
      </c>
    </row>
    <row r="67" spans="1:15">
      <c r="A67" s="1">
        <v>46199</v>
      </c>
      <c r="B67" s="2" t="s">
        <v>69</v>
      </c>
      <c r="C67" s="2" t="s">
        <v>71</v>
      </c>
      <c r="D67" s="2" t="s">
        <v>74</v>
      </c>
      <c r="E67" s="2" t="s">
        <v>22</v>
      </c>
      <c r="F67" s="2">
        <v>26</v>
      </c>
      <c r="G67" s="2">
        <v>28</v>
      </c>
      <c r="H67" s="2">
        <v>46</v>
      </c>
      <c r="I67" s="2">
        <v>0.9</v>
      </c>
      <c r="J67" s="2">
        <v>1.5</v>
      </c>
      <c r="K67" s="2">
        <v>46</v>
      </c>
      <c r="L67" s="2">
        <v>54</v>
      </c>
      <c r="M67" s="2">
        <v>3.3</v>
      </c>
      <c r="N67" s="3" t="str">
        <f t="shared" ref="N67:N73" si="1">LEFT(O67,3)</f>
        <v>1-2</v>
      </c>
      <c r="O67" s="2" t="s">
        <v>149</v>
      </c>
    </row>
    <row r="68" spans="1:15">
      <c r="A68" s="1">
        <v>46200</v>
      </c>
      <c r="B68" s="2" t="s">
        <v>101</v>
      </c>
      <c r="C68" s="2" t="s">
        <v>103</v>
      </c>
      <c r="D68" s="2" t="s">
        <v>105</v>
      </c>
      <c r="E68" s="2" t="s">
        <v>45</v>
      </c>
      <c r="F68" s="2">
        <v>11</v>
      </c>
      <c r="G68" s="2">
        <v>19</v>
      </c>
      <c r="H68" s="2">
        <v>70</v>
      </c>
      <c r="I68" s="2">
        <v>0.3</v>
      </c>
      <c r="J68" s="2">
        <v>2.2999999999999998</v>
      </c>
      <c r="K68" s="2">
        <v>36</v>
      </c>
      <c r="L68" s="2">
        <v>64</v>
      </c>
      <c r="M68" s="2">
        <v>3.7</v>
      </c>
      <c r="N68" s="3" t="str">
        <f t="shared" si="1"/>
        <v>0-3</v>
      </c>
      <c r="O68" s="2" t="s">
        <v>150</v>
      </c>
    </row>
    <row r="69" spans="1:15">
      <c r="A69" s="1">
        <v>46200</v>
      </c>
      <c r="B69" s="2" t="s">
        <v>101</v>
      </c>
      <c r="C69" s="2" t="s">
        <v>106</v>
      </c>
      <c r="D69" s="2" t="s">
        <v>102</v>
      </c>
      <c r="E69" s="2" t="s">
        <v>54</v>
      </c>
      <c r="F69" s="2">
        <v>66</v>
      </c>
      <c r="G69" s="2">
        <v>20</v>
      </c>
      <c r="H69" s="2">
        <v>14</v>
      </c>
      <c r="I69" s="2">
        <v>2.1</v>
      </c>
      <c r="J69" s="2">
        <v>0.6</v>
      </c>
      <c r="K69" s="2">
        <v>60</v>
      </c>
      <c r="L69" s="2">
        <v>40</v>
      </c>
      <c r="M69" s="2">
        <v>2.6</v>
      </c>
      <c r="N69" s="3" t="str">
        <f t="shared" si="1"/>
        <v>1-0</v>
      </c>
      <c r="O69" s="2" t="s">
        <v>104</v>
      </c>
    </row>
    <row r="70" spans="1:15">
      <c r="A70" s="1">
        <v>46200</v>
      </c>
      <c r="B70" s="2" t="s">
        <v>93</v>
      </c>
      <c r="C70" s="2" t="s">
        <v>95</v>
      </c>
      <c r="D70" s="2" t="s">
        <v>98</v>
      </c>
      <c r="E70" s="2" t="s">
        <v>96</v>
      </c>
      <c r="F70" s="2">
        <v>38</v>
      </c>
      <c r="G70" s="2">
        <v>31</v>
      </c>
      <c r="H70" s="2">
        <v>31</v>
      </c>
      <c r="I70" s="2">
        <v>1.3</v>
      </c>
      <c r="J70" s="2">
        <v>1.1000000000000001</v>
      </c>
      <c r="K70" s="2">
        <v>50</v>
      </c>
      <c r="L70" s="2">
        <v>50</v>
      </c>
      <c r="M70" s="2">
        <v>3.1</v>
      </c>
      <c r="N70" s="3" t="str">
        <f t="shared" si="1"/>
        <v>1-1</v>
      </c>
      <c r="O70" s="2" t="s">
        <v>131</v>
      </c>
    </row>
    <row r="71" spans="1:15">
      <c r="A71" s="1">
        <v>46200</v>
      </c>
      <c r="B71" s="2" t="s">
        <v>93</v>
      </c>
      <c r="C71" s="2" t="s">
        <v>99</v>
      </c>
      <c r="D71" s="2" t="s">
        <v>94</v>
      </c>
      <c r="E71" s="2" t="s">
        <v>63</v>
      </c>
      <c r="F71" s="2">
        <v>16</v>
      </c>
      <c r="G71" s="2">
        <v>20</v>
      </c>
      <c r="H71" s="2">
        <v>64</v>
      </c>
      <c r="I71" s="2">
        <v>0.5</v>
      </c>
      <c r="J71" s="2">
        <v>2.1</v>
      </c>
      <c r="K71" s="2">
        <v>41</v>
      </c>
      <c r="L71" s="2">
        <v>59</v>
      </c>
      <c r="M71" s="2">
        <v>3.6</v>
      </c>
      <c r="N71" s="3" t="str">
        <f t="shared" si="1"/>
        <v>1-2</v>
      </c>
      <c r="O71" s="2" t="s">
        <v>73</v>
      </c>
    </row>
    <row r="72" spans="1:15">
      <c r="A72" s="1">
        <v>46200</v>
      </c>
      <c r="B72" s="2" t="s">
        <v>108</v>
      </c>
      <c r="C72" s="2" t="s">
        <v>113</v>
      </c>
      <c r="D72" s="2" t="s">
        <v>109</v>
      </c>
      <c r="E72" s="2" t="s">
        <v>72</v>
      </c>
      <c r="F72" s="2">
        <v>20</v>
      </c>
      <c r="G72" s="2">
        <v>22</v>
      </c>
      <c r="H72" s="2">
        <v>58</v>
      </c>
      <c r="I72" s="2">
        <v>0.7</v>
      </c>
      <c r="J72" s="2">
        <v>1.9</v>
      </c>
      <c r="K72" s="2">
        <v>43</v>
      </c>
      <c r="L72" s="2">
        <v>57</v>
      </c>
      <c r="M72" s="2">
        <v>3.4</v>
      </c>
      <c r="N72" s="3" t="str">
        <f t="shared" si="1"/>
        <v>1-2</v>
      </c>
      <c r="O72" s="2" t="s">
        <v>151</v>
      </c>
    </row>
    <row r="73" spans="1:15">
      <c r="A73" s="1">
        <v>46200</v>
      </c>
      <c r="B73" s="2" t="s">
        <v>108</v>
      </c>
      <c r="C73" s="2" t="s">
        <v>110</v>
      </c>
      <c r="D73" s="2" t="s">
        <v>112</v>
      </c>
      <c r="E73" s="2" t="s">
        <v>76</v>
      </c>
      <c r="F73" s="2">
        <v>38</v>
      </c>
      <c r="G73" s="2">
        <v>32</v>
      </c>
      <c r="H73" s="2">
        <v>30</v>
      </c>
      <c r="I73" s="2">
        <v>1.3</v>
      </c>
      <c r="J73" s="2">
        <v>1.1000000000000001</v>
      </c>
      <c r="K73" s="2">
        <v>50</v>
      </c>
      <c r="L73" s="2">
        <v>50</v>
      </c>
      <c r="M73" s="2">
        <v>3.1</v>
      </c>
      <c r="N73" s="3" t="str">
        <f t="shared" si="1"/>
        <v>1-1</v>
      </c>
      <c r="O73" s="2" t="s">
        <v>152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Mauricio Munoz</cp:lastModifiedBy>
  <cp:revision/>
  <dcterms:created xsi:type="dcterms:W3CDTF">2026-06-10T14:40:15Z</dcterms:created>
  <dcterms:modified xsi:type="dcterms:W3CDTF">2026-06-11T20:06:22Z</dcterms:modified>
  <cp:category/>
  <cp:contentStatus/>
</cp:coreProperties>
</file>